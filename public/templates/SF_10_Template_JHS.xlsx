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uliolopez/Software Projects/batch/public/templates/"/>
    </mc:Choice>
  </mc:AlternateContent>
  <xr:revisionPtr revIDLastSave="0" documentId="13_ncr:1_{AC3983CD-6D84-7C4C-90D1-69024FF7B714}" xr6:coauthVersionLast="47" xr6:coauthVersionMax="47" xr10:uidLastSave="{00000000-0000-0000-0000-000000000000}"/>
  <bookViews>
    <workbookView xWindow="0" yWindow="860" windowWidth="38400" windowHeight="22780" xr2:uid="{00000000-000D-0000-FFFF-FFFF00000000}"/>
  </bookViews>
  <sheets>
    <sheet name="SF10" sheetId="2" r:id="rId1"/>
    <sheet name="Sheet1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2" l="1"/>
  <c r="M50" i="2"/>
  <c r="J50" i="2"/>
  <c r="H50" i="2"/>
  <c r="C50" i="2"/>
  <c r="L23" i="2"/>
  <c r="H23" i="2"/>
  <c r="F23" i="2"/>
  <c r="D23" i="2"/>
  <c r="M15" i="2"/>
  <c r="J15" i="2"/>
  <c r="F15" i="2"/>
  <c r="I14" i="2"/>
  <c r="K9" i="2"/>
</calcChain>
</file>

<file path=xl/sharedStrings.xml><?xml version="1.0" encoding="utf-8"?>
<sst xmlns="http://schemas.openxmlformats.org/spreadsheetml/2006/main" count="115" uniqueCount="81">
  <si>
    <t>SF 10 - JHS</t>
  </si>
  <si>
    <t>Republic of the Philippines</t>
  </si>
  <si>
    <t xml:space="preserve">Department of Education </t>
  </si>
  <si>
    <t>Region VII, Central Visayas</t>
  </si>
  <si>
    <t>Division of Bohol</t>
  </si>
  <si>
    <t>Learner Permanent Record for Junior High School (SF10-JHS)</t>
  </si>
  <si>
    <t>(Formerly Form 137)</t>
  </si>
  <si>
    <t>LEARNER'S INFORMATION</t>
  </si>
  <si>
    <t xml:space="preserve">LAST NAME: </t>
  </si>
  <si>
    <t xml:space="preserve">FIRST NAME: </t>
  </si>
  <si>
    <t>NAME EXTN. (Jr,I,II):</t>
  </si>
  <si>
    <t xml:space="preserve">MIDDLE NAME:  </t>
  </si>
  <si>
    <t xml:space="preserve">Learner Reference Number (LRN): </t>
  </si>
  <si>
    <t xml:space="preserve">Birthdate (mm/dd/yyyy): </t>
  </si>
  <si>
    <t>SEX:</t>
  </si>
  <si>
    <t>ELIGIBILITY FOR JHS ENROLMENT</t>
  </si>
  <si>
    <t>Ö</t>
  </si>
  <si>
    <t>Elementary School Completer</t>
  </si>
  <si>
    <t>General Average:</t>
  </si>
  <si>
    <t>Citation: (If Any)</t>
  </si>
  <si>
    <t>Name of Elementary School:</t>
  </si>
  <si>
    <t>School ID:</t>
  </si>
  <si>
    <t>Address of School:</t>
  </si>
  <si>
    <t>Other Credential Presented</t>
  </si>
  <si>
    <t xml:space="preserve">PEPT Passer     Rating: _________   </t>
  </si>
  <si>
    <t xml:space="preserve">ALS A &amp; E Passer      Rating: _____________  </t>
  </si>
  <si>
    <t>Others (Pls. Specify): ___________</t>
  </si>
  <si>
    <t xml:space="preserve">      Date of Examination/Assessment (mm/dd/yyyy): ____________ Name and Address of Testing Center: ____________________________________</t>
  </si>
  <si>
    <t>SCHOLASTIC RECORD</t>
  </si>
  <si>
    <t>SCHOOL:</t>
  </si>
  <si>
    <t>SCHOOL ID:</t>
  </si>
  <si>
    <t>DISTRICT:</t>
  </si>
  <si>
    <t>DIVISION:</t>
  </si>
  <si>
    <t>BOHOL</t>
  </si>
  <si>
    <t>REGION:</t>
  </si>
  <si>
    <t>VII</t>
  </si>
  <si>
    <t>Classified as Grade:</t>
  </si>
  <si>
    <t>Section:</t>
  </si>
  <si>
    <t>Sch. Year:</t>
  </si>
  <si>
    <t>Name of Adviser/Teacher:</t>
  </si>
  <si>
    <t>Signature:</t>
  </si>
  <si>
    <t>LEARNING AREAS</t>
  </si>
  <si>
    <t>Quarterly Rating</t>
  </si>
  <si>
    <t>FINAL</t>
  </si>
  <si>
    <t>REMARKS</t>
  </si>
  <si>
    <t>RATING</t>
  </si>
  <si>
    <t>General Average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</si>
  <si>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</si>
  <si>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</si>
  <si>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</si>
  <si>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</si>
  <si>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</si>
  <si>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</si>
  <si>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</si>
  <si>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</si>
  <si>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</si>
  <si>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</si>
  <si>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</si>
  <si>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Days of School</t>
  </si>
  <si>
    <t>Days of Present</t>
  </si>
  <si>
    <t>Remedial Classes</t>
  </si>
  <si>
    <t xml:space="preserve"> Conducted from (mm/dd/yyyy) ____________________ to (mm/dd/yyyy) __________________</t>
  </si>
  <si>
    <t>Learning Areas</t>
  </si>
  <si>
    <t>Final Rating</t>
  </si>
  <si>
    <t>Remedial Class Mark</t>
  </si>
  <si>
    <t>Recomputed Final Grade</t>
  </si>
  <si>
    <t>Remarks</t>
  </si>
  <si>
    <t>School Year:</t>
  </si>
  <si>
    <t>QUARTER</t>
  </si>
  <si>
    <t>May</t>
  </si>
  <si>
    <t>Conducted from (mm/dd/yyyy) ____________________ to (mm/dd/yyyy) __________________</t>
  </si>
  <si>
    <t>CERTIFICATION</t>
  </si>
  <si>
    <t xml:space="preserve">I CERTIFY that this is a true record of </t>
  </si>
  <si>
    <t>with LRN</t>
  </si>
  <si>
    <t xml:space="preserve"> and that he/she is  eligible for admission to Grade</t>
  </si>
  <si>
    <t>Name of School:</t>
  </si>
  <si>
    <t xml:space="preserve">Last School Year Attended: </t>
  </si>
  <si>
    <t xml:space="preserve"> _____________________</t>
  </si>
  <si>
    <t xml:space="preserve">                  Date</t>
  </si>
  <si>
    <t>Name of Principal/School Head over Printed Name</t>
  </si>
  <si>
    <t>(Affix School Seal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</si>
</sst>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Symbol"/>
      <family val="1"/>
      <charset val="2"/>
    </font>
    <font>
      <b/>
      <sz val="10"/>
      <color theme="1"/>
      <name val="Bahnschrift Condensed"/>
      <family val="2"/>
    </font>
    <font>
      <b/>
      <sz val="11"/>
      <color theme="1"/>
      <name val="Arial Narrow"/>
      <family val="2"/>
    </font>
    <font>
      <b/>
      <sz val="10"/>
      <color theme="1"/>
      <name val="Bahnschrift Light Condensed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0"/>
      <name val="Bahnschrift Light Condensed"/>
      <family val="2"/>
    </font>
    <font>
      <b/>
      <sz val="11"/>
      <color theme="0"/>
      <name val="Arial Narrow"/>
      <family val="2"/>
    </font>
    <font>
      <b/>
      <sz val="11"/>
      <color theme="0"/>
      <name val="Arial"/>
      <family val="2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0" borderId="0" xfId="0" applyFont="1" applyAlignment="1">
      <alignment vertical="center"/>
    </xf>
    <xf numFmtId="0" fontId="8" fillId="0" borderId="0" xfId="0" applyFont="1"/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left"/>
    </xf>
    <xf numFmtId="0" fontId="7" fillId="0" borderId="7" xfId="0" applyFont="1" applyBorder="1" applyAlignment="1">
      <alignment horizontal="center"/>
    </xf>
    <xf numFmtId="0" fontId="11" fillId="0" borderId="8" xfId="0" applyFont="1" applyBorder="1" applyProtection="1">
      <protection hidden="1"/>
    </xf>
    <xf numFmtId="0" fontId="12" fillId="0" borderId="9" xfId="0" applyFont="1" applyBorder="1" applyProtection="1">
      <protection hidden="1"/>
    </xf>
    <xf numFmtId="0" fontId="11" fillId="0" borderId="9" xfId="0" applyFont="1" applyBorder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9" xfId="0" applyFont="1" applyBorder="1" applyAlignment="1" applyProtection="1">
      <alignment horizontal="center"/>
      <protection hidden="1"/>
    </xf>
    <xf numFmtId="0" fontId="11" fillId="0" borderId="10" xfId="0" applyFont="1" applyBorder="1" applyProtection="1"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12" xfId="0" applyFont="1" applyBorder="1" applyProtection="1">
      <protection hidden="1"/>
    </xf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horizontal="left"/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0" borderId="13" xfId="0" applyFont="1" applyBorder="1" applyProtection="1">
      <protection hidden="1"/>
    </xf>
    <xf numFmtId="0" fontId="4" fillId="0" borderId="0" xfId="0" applyFont="1"/>
    <xf numFmtId="0" fontId="3" fillId="0" borderId="12" xfId="0" applyFont="1" applyBorder="1"/>
    <xf numFmtId="0" fontId="3" fillId="0" borderId="0" xfId="0" applyFont="1"/>
    <xf numFmtId="0" fontId="3" fillId="0" borderId="13" xfId="0" applyFont="1" applyBorder="1"/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" xfId="0" applyFont="1" applyBorder="1"/>
    <xf numFmtId="0" fontId="3" fillId="0" borderId="5" xfId="0" applyFont="1" applyBorder="1"/>
    <xf numFmtId="1" fontId="15" fillId="0" borderId="5" xfId="0" applyNumberFormat="1" applyFont="1" applyBorder="1" applyAlignment="1">
      <alignment horizontal="center"/>
    </xf>
    <xf numFmtId="1" fontId="15" fillId="0" borderId="1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6" fillId="0" borderId="23" xfId="0" applyFont="1" applyBorder="1"/>
    <xf numFmtId="0" fontId="15" fillId="0" borderId="23" xfId="0" applyFont="1" applyBorder="1"/>
    <xf numFmtId="0" fontId="3" fillId="0" borderId="20" xfId="0" applyFont="1" applyBorder="1"/>
    <xf numFmtId="0" fontId="3" fillId="0" borderId="1" xfId="0" applyFont="1" applyBorder="1"/>
    <xf numFmtId="0" fontId="3" fillId="0" borderId="21" xfId="0" applyFont="1" applyBorder="1"/>
    <xf numFmtId="165" fontId="18" fillId="0" borderId="2" xfId="0" applyNumberFormat="1" applyFont="1" applyBorder="1"/>
    <xf numFmtId="1" fontId="15" fillId="0" borderId="24" xfId="0" applyNumberFormat="1" applyFont="1" applyBorder="1" applyAlignment="1">
      <alignment horizontal="center"/>
    </xf>
    <xf numFmtId="0" fontId="3" fillId="3" borderId="12" xfId="0" applyFont="1" applyFill="1" applyBorder="1"/>
    <xf numFmtId="0" fontId="3" fillId="3" borderId="0" xfId="0" applyFont="1" applyFill="1"/>
    <xf numFmtId="0" fontId="4" fillId="3" borderId="0" xfId="0" applyFont="1" applyFill="1"/>
    <xf numFmtId="0" fontId="4" fillId="3" borderId="13" xfId="0" applyFont="1" applyFill="1" applyBorder="1"/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" fontId="4" fillId="0" borderId="0" xfId="0" applyNumberFormat="1" applyFont="1"/>
    <xf numFmtId="0" fontId="3" fillId="0" borderId="2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" fillId="0" borderId="22" xfId="0" applyFont="1" applyBorder="1"/>
    <xf numFmtId="0" fontId="1" fillId="0" borderId="6" xfId="0" applyFont="1" applyBorder="1"/>
    <xf numFmtId="0" fontId="1" fillId="0" borderId="37" xfId="0" applyFont="1" applyBorder="1"/>
    <xf numFmtId="0" fontId="4" fillId="0" borderId="0" xfId="0" applyFont="1" applyAlignment="1">
      <alignment vertical="center"/>
    </xf>
    <xf numFmtId="0" fontId="0" fillId="3" borderId="0" xfId="0" applyFill="1"/>
    <xf numFmtId="0" fontId="19" fillId="0" borderId="9" xfId="0" applyFont="1" applyBorder="1" applyProtection="1">
      <protection hidden="1"/>
    </xf>
    <xf numFmtId="0" fontId="20" fillId="0" borderId="9" xfId="0" applyFont="1" applyBorder="1" applyAlignment="1" applyProtection="1">
      <alignment horizontal="center"/>
      <protection hidden="1"/>
    </xf>
    <xf numFmtId="0" fontId="21" fillId="0" borderId="11" xfId="0" applyFont="1" applyBorder="1" applyAlignment="1" applyProtection="1">
      <alignment horizontal="center"/>
      <protection hidden="1"/>
    </xf>
    <xf numFmtId="0" fontId="4" fillId="0" borderId="12" xfId="0" applyFont="1" applyBorder="1"/>
    <xf numFmtId="0" fontId="3" fillId="0" borderId="16" xfId="0" applyFont="1" applyBorder="1"/>
    <xf numFmtId="0" fontId="22" fillId="0" borderId="16" xfId="0" applyFont="1" applyBorder="1"/>
    <xf numFmtId="0" fontId="0" fillId="3" borderId="12" xfId="0" applyFill="1" applyBorder="1"/>
    <xf numFmtId="0" fontId="0" fillId="3" borderId="13" xfId="0" applyFill="1" applyBorder="1"/>
    <xf numFmtId="0" fontId="4" fillId="0" borderId="16" xfId="0" applyFont="1" applyBorder="1"/>
    <xf numFmtId="0" fontId="3" fillId="0" borderId="33" xfId="0" applyFont="1" applyBorder="1"/>
    <xf numFmtId="0" fontId="4" fillId="0" borderId="33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2" xfId="0" applyFont="1" applyBorder="1"/>
    <xf numFmtId="0" fontId="1" fillId="0" borderId="29" xfId="0" applyFont="1" applyBorder="1"/>
    <xf numFmtId="0" fontId="0" fillId="0" borderId="12" xfId="0" applyBorder="1"/>
    <xf numFmtId="0" fontId="0" fillId="0" borderId="13" xfId="0" applyBorder="1"/>
    <xf numFmtId="0" fontId="0" fillId="0" borderId="37" xfId="0" applyBorder="1"/>
    <xf numFmtId="0" fontId="0" fillId="0" borderId="43" xfId="0" applyBorder="1"/>
    <xf numFmtId="0" fontId="0" fillId="0" borderId="7" xfId="0" applyBorder="1"/>
    <xf numFmtId="0" fontId="0" fillId="0" borderId="44" xfId="0" applyBorder="1"/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3" fillId="0" borderId="30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11" fillId="0" borderId="0" xfId="0" applyFont="1" applyAlignment="1" applyProtection="1">
      <alignment horizontal="center"/>
      <protection hidden="1"/>
    </xf>
    <xf numFmtId="0" fontId="20" fillId="0" borderId="9" xfId="0" applyFont="1" applyBorder="1" applyAlignment="1" applyProtection="1">
      <alignment horizontal="center"/>
      <protection hidden="1"/>
    </xf>
    <xf numFmtId="0" fontId="21" fillId="0" borderId="9" xfId="0" applyFont="1" applyBorder="1" applyAlignment="1" applyProtection="1">
      <alignment horizontal="center"/>
      <protection hidden="1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5" fillId="0" borderId="23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15" fillId="0" borderId="30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7" fillId="0" borderId="18" xfId="0" applyFont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0" borderId="16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0" fillId="0" borderId="0" xfId="0" applyFont="1" applyAlignment="1" applyProtection="1">
      <alignment horizontal="left" wrapText="1"/>
      <protection hidden="1"/>
    </xf>
    <xf numFmtId="0" fontId="7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0" borderId="9" xfId="0" applyFont="1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274587</xdr:colOff>
      <xdr:row>13</xdr:row>
      <xdr:rowOff>20127</xdr:rowOff>
    </xdr:from>
    <xdr:to>
      <xdr:col>1</xdr:col>
      <xdr:colOff>482003</xdr:colOff>
      <xdr:row>13</xdr:row>
      <xdr:rowOff>202310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25387" y="2185477"/>
          <a:ext cx="207416" cy="169483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347397</xdr:colOff>
      <xdr:row>16</xdr:row>
      <xdr:rowOff>19244</xdr:rowOff>
    </xdr:from>
    <xdr:to>
      <xdr:col>5</xdr:col>
      <xdr:colOff>566472</xdr:colOff>
      <xdr:row>16</xdr:row>
      <xdr:rowOff>200219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077897" y="2844994"/>
          <a:ext cx="219075" cy="18097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381000</xdr:colOff>
      <xdr:row>16</xdr:row>
      <xdr:rowOff>19438</xdr:rowOff>
    </xdr:from>
    <xdr:to>
      <xdr:col>11</xdr:col>
      <xdr:colOff>2892</xdr:colOff>
      <xdr:row>17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 flipH="1">
          <a:off x="6527800" y="2845188"/>
          <a:ext cx="377542" cy="205987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244873</xdr:colOff>
      <xdr:row>0</xdr:row>
      <xdr:rowOff>42333</xdr:rowOff>
    </xdr:from>
    <xdr:to>
      <xdr:col>6</xdr:col>
      <xdr:colOff>423812</xdr:colOff>
      <xdr:row>5</xdr:row>
      <xdr:rowOff>4232</xdr:rowOff>
    </xdr:to>
    <xdr:pic>
      <xdr:nvPicPr>
        <xdr:cNvPr id="5" name="Picture 3" descr="DEPED-NEW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5373" y="42333"/>
          <a:ext cx="959989" cy="882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121307</xdr:colOff>
      <xdr:row>0</xdr:row>
      <xdr:rowOff>105833</xdr:rowOff>
    </xdr:from>
    <xdr:to>
      <xdr:col>12</xdr:col>
      <xdr:colOff>11768</xdr:colOff>
      <xdr:row>4</xdr:row>
      <xdr:rowOff>42861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68107" y="105833"/>
          <a:ext cx="1306511" cy="6609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268785</xdr:colOff>
      <xdr:row>16</xdr:row>
      <xdr:rowOff>21382</xdr:rowOff>
    </xdr:from>
    <xdr:to>
      <xdr:col>1</xdr:col>
      <xdr:colOff>487860</xdr:colOff>
      <xdr:row>16</xdr:row>
      <xdr:rowOff>202357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319585" y="2847132"/>
          <a:ext cx="219075" cy="18097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</xdr:row>
      <xdr:rowOff>9525</xdr:rowOff>
    </xdr:from>
    <xdr:to>
      <xdr:col>3</xdr:col>
      <xdr:colOff>523875</xdr:colOff>
      <xdr:row>5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50800" y="168275"/>
          <a:ext cx="1952625" cy="7620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00"/>
            <a:t>Identification card issued on</a:t>
          </a:r>
        </a:p>
        <a:p>
          <a:r>
            <a:rPr lang="en-PH" sz="1000"/>
            <a:t>_______________________</a:t>
          </a:r>
        </a:p>
        <a:p>
          <a:r>
            <a:rPr lang="en-PH" sz="1000"/>
            <a:t>_______________________</a:t>
          </a:r>
        </a:p>
        <a:p>
          <a:pPr algn="ctr"/>
          <a:r>
            <a:rPr lang="en-PH" sz="1000"/>
            <a:t>Principal</a:t>
          </a:r>
        </a:p>
      </xdr:txBody>
    </xdr:sp>
    <xdr:clientData/>
  </xdr:twoCellAnchor>
  <xdr:twoCellAnchor>
    <xdr:from>
      <xdr:col>12</xdr:col>
      <xdr:colOff>226220</xdr:colOff>
      <xdr:row>0</xdr:row>
      <xdr:rowOff>47628</xdr:rowOff>
    </xdr:from>
    <xdr:to>
      <xdr:col>15</xdr:col>
      <xdr:colOff>416720</xdr:colOff>
      <xdr:row>5</xdr:row>
      <xdr:rowOff>4765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7789070" y="47628"/>
          <a:ext cx="2254250" cy="877887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00"/>
            <a:t>Copy of this record sent to</a:t>
          </a:r>
        </a:p>
        <a:p>
          <a:r>
            <a:rPr lang="en-PH" sz="1000"/>
            <a:t>Principal of ______________</a:t>
          </a:r>
        </a:p>
        <a:p>
          <a:r>
            <a:rPr lang="en-PH" sz="1000"/>
            <a:t>School on _______________</a:t>
          </a:r>
        </a:p>
        <a:p>
          <a:pPr algn="ctr"/>
          <a:r>
            <a:rPr lang="en-PH" sz="1000"/>
            <a:t>_______________________</a:t>
          </a:r>
        </a:p>
        <a:p>
          <a:pPr algn="ctr"/>
          <a:r>
            <a:rPr lang="en-PH" sz="1000"/>
            <a:t>Principal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2024-2025/Homeroom/SF10%202024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2022-2023/HCA/Sample%20SF10-Learners-Permanent-Academic-Record-for-Junior-High-Sch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1ST"/>
      <sheetName val="2ND"/>
      <sheetName val="3RD"/>
      <sheetName val="4TH"/>
      <sheetName val="AVERAGE"/>
      <sheetName val="SF10"/>
      <sheetName val="Grade Stub"/>
    </sheetNames>
    <sheetDataSet>
      <sheetData sheetId="0">
        <row r="2">
          <cell r="A2" t="str">
            <v>LRN</v>
          </cell>
          <cell r="B2" t="str">
            <v>LASTNAME</v>
          </cell>
          <cell r="C2" t="str">
            <v>FIRSTNAME</v>
          </cell>
          <cell r="D2" t="str">
            <v>EXTENSION</v>
          </cell>
          <cell r="E2" t="str">
            <v>MIDDLE NAME</v>
          </cell>
          <cell r="F2" t="str">
            <v>GENDER</v>
          </cell>
          <cell r="G2" t="str">
            <v>BIRTHDATE</v>
          </cell>
          <cell r="H2" t="str">
            <v>ELEM AVE. GRADE</v>
          </cell>
          <cell r="I2" t="str">
            <v>ELEM. SCHOOL GRADUATED</v>
          </cell>
          <cell r="J2" t="str">
            <v>ELEM SCHOOL ADRESS</v>
          </cell>
          <cell r="K2" t="str">
            <v>SCHOOL ID</v>
          </cell>
          <cell r="L2" t="str">
            <v>SECTION</v>
          </cell>
          <cell r="M2" t="str">
            <v>SCHOOL YEAR</v>
          </cell>
          <cell r="N2" t="str">
            <v>ADVISER</v>
          </cell>
          <cell r="O2">
            <v>8</v>
          </cell>
          <cell r="P2">
            <v>20</v>
          </cell>
          <cell r="Q2">
            <v>21</v>
          </cell>
          <cell r="R2">
            <v>21</v>
          </cell>
          <cell r="S2">
            <v>21</v>
          </cell>
          <cell r="T2">
            <v>16</v>
          </cell>
          <cell r="U2">
            <v>22</v>
          </cell>
          <cell r="V2">
            <v>23</v>
          </cell>
          <cell r="W2">
            <v>26</v>
          </cell>
          <cell r="X2">
            <v>22</v>
          </cell>
          <cell r="Y2" t="str">
            <v>-</v>
          </cell>
          <cell r="Z2">
            <v>200</v>
          </cell>
        </row>
        <row r="3">
          <cell r="A3" t="str">
            <v>118398170009</v>
          </cell>
          <cell r="B3" t="str">
            <v>SARSALE</v>
          </cell>
          <cell r="C3" t="str">
            <v>JERIEN</v>
          </cell>
          <cell r="D3" t="str">
            <v>-</v>
          </cell>
          <cell r="E3" t="str">
            <v>AMISTOSO</v>
          </cell>
          <cell r="F3" t="str">
            <v>MALE</v>
          </cell>
          <cell r="G3" t="str">
            <v>7-08-2011</v>
          </cell>
          <cell r="H3">
            <v>90</v>
          </cell>
          <cell r="I3" t="str">
            <v>CABULIJAN ELEMENTARY SCHOOL</v>
          </cell>
          <cell r="J3" t="str">
            <v>CABULIJAN TUBIGON, BOHOL</v>
          </cell>
          <cell r="K3">
            <v>118778</v>
          </cell>
          <cell r="L3" t="str">
            <v>DAISY</v>
          </cell>
          <cell r="M3" t="str">
            <v>2024-2025</v>
          </cell>
          <cell r="N3" t="str">
            <v>LOUDANIE-ANTONIETTE C. QUIDLAT</v>
          </cell>
          <cell r="O3">
            <v>8</v>
          </cell>
          <cell r="P3">
            <v>20</v>
          </cell>
          <cell r="Q3">
            <v>21</v>
          </cell>
          <cell r="R3">
            <v>19</v>
          </cell>
          <cell r="S3">
            <v>20</v>
          </cell>
          <cell r="Y3" t="str">
            <v>-</v>
          </cell>
          <cell r="Z3">
            <v>88</v>
          </cell>
        </row>
        <row r="4">
          <cell r="A4" t="str">
            <v>446518150018</v>
          </cell>
          <cell r="B4" t="str">
            <v>ANTIPORTA</v>
          </cell>
          <cell r="C4" t="str">
            <v>ROBERT JOHN</v>
          </cell>
          <cell r="D4" t="str">
            <v>-</v>
          </cell>
          <cell r="E4" t="str">
            <v xml:space="preserve"> -</v>
          </cell>
          <cell r="F4" t="str">
            <v>MALE</v>
          </cell>
          <cell r="G4" t="str">
            <v>03-17-2010</v>
          </cell>
          <cell r="H4">
            <v>87</v>
          </cell>
          <cell r="I4" t="str">
            <v>TUBIGON WEST CENTRAL ELEMENTARY SCH.</v>
          </cell>
          <cell r="J4" t="str">
            <v>POOC ORIENTAL, TUBIGON, BOHOL</v>
          </cell>
          <cell r="K4">
            <v>118797</v>
          </cell>
          <cell r="L4" t="str">
            <v>DAISY</v>
          </cell>
          <cell r="M4" t="str">
            <v>2023-2024</v>
          </cell>
          <cell r="N4" t="str">
            <v>LOUDANIE-ANTONIETTE C. QUIDLAT</v>
          </cell>
          <cell r="O4">
            <v>20</v>
          </cell>
          <cell r="P4">
            <v>21</v>
          </cell>
          <cell r="Q4">
            <v>22</v>
          </cell>
          <cell r="R4">
            <v>16</v>
          </cell>
          <cell r="S4">
            <v>15</v>
          </cell>
          <cell r="T4">
            <v>18</v>
          </cell>
          <cell r="U4">
            <v>20</v>
          </cell>
          <cell r="V4">
            <v>22</v>
          </cell>
          <cell r="W4">
            <v>21</v>
          </cell>
          <cell r="X4">
            <v>23</v>
          </cell>
          <cell r="Y4" t="str">
            <v>-</v>
          </cell>
          <cell r="Z4">
            <v>198</v>
          </cell>
        </row>
        <row r="5">
          <cell r="A5" t="str">
            <v>446563160032</v>
          </cell>
          <cell r="B5" t="str">
            <v>ASOMBRADO</v>
          </cell>
          <cell r="C5" t="str">
            <v>AEDAN CAIREL</v>
          </cell>
          <cell r="D5" t="str">
            <v>-</v>
          </cell>
          <cell r="E5" t="str">
            <v xml:space="preserve"> CABUG-OS</v>
          </cell>
          <cell r="F5" t="str">
            <v>MALE</v>
          </cell>
          <cell r="G5" t="str">
            <v>07-18-2011</v>
          </cell>
          <cell r="H5">
            <v>94</v>
          </cell>
          <cell r="I5" t="str">
            <v>CAHAYAG ELEMENTARY SCHOOL</v>
          </cell>
          <cell r="J5" t="str">
            <v>CAHAYAG, TUBIGON, BOHOL</v>
          </cell>
          <cell r="K5">
            <v>118779</v>
          </cell>
          <cell r="L5" t="str">
            <v>DAISY</v>
          </cell>
          <cell r="M5" t="str">
            <v>2023-2024</v>
          </cell>
          <cell r="N5" t="str">
            <v>LOUDANIE-ANTONIETTE C. QUIDLAT</v>
          </cell>
          <cell r="O5">
            <v>20</v>
          </cell>
          <cell r="P5">
            <v>21</v>
          </cell>
          <cell r="Q5">
            <v>22</v>
          </cell>
          <cell r="R5">
            <v>17</v>
          </cell>
          <cell r="S5">
            <v>15</v>
          </cell>
          <cell r="T5">
            <v>19</v>
          </cell>
          <cell r="U5">
            <v>22</v>
          </cell>
          <cell r="V5">
            <v>22</v>
          </cell>
          <cell r="W5">
            <v>21</v>
          </cell>
          <cell r="X5">
            <v>23</v>
          </cell>
          <cell r="Y5" t="str">
            <v>-</v>
          </cell>
          <cell r="Z5">
            <v>202</v>
          </cell>
        </row>
        <row r="6">
          <cell r="A6" t="str">
            <v>118787160019</v>
          </cell>
          <cell r="B6" t="str">
            <v>BADILLA</v>
          </cell>
          <cell r="C6" t="str">
            <v>JETHRO JED</v>
          </cell>
          <cell r="D6" t="str">
            <v>-</v>
          </cell>
          <cell r="E6" t="str">
            <v xml:space="preserve"> MEJARES</v>
          </cell>
          <cell r="F6" t="str">
            <v>MALE</v>
          </cell>
          <cell r="G6" t="str">
            <v>04-11-2011</v>
          </cell>
          <cell r="H6">
            <v>81</v>
          </cell>
          <cell r="I6" t="str">
            <v>TUBIGON EAST CENTRAL ELEMENTARY SCH.</v>
          </cell>
          <cell r="J6" t="str">
            <v>MACAAS, TUBIGON, BOHOL</v>
          </cell>
          <cell r="K6">
            <v>118787</v>
          </cell>
          <cell r="L6" t="str">
            <v>DAISY</v>
          </cell>
          <cell r="M6" t="str">
            <v>2023-2024</v>
          </cell>
          <cell r="N6" t="str">
            <v>LOUDANIE-ANTONIETTE C. QUIDLAT</v>
          </cell>
          <cell r="O6">
            <v>20</v>
          </cell>
          <cell r="P6">
            <v>21</v>
          </cell>
          <cell r="Q6">
            <v>21</v>
          </cell>
          <cell r="R6">
            <v>16</v>
          </cell>
          <cell r="S6">
            <v>14</v>
          </cell>
          <cell r="T6">
            <v>18</v>
          </cell>
          <cell r="U6">
            <v>21</v>
          </cell>
          <cell r="V6">
            <v>22</v>
          </cell>
          <cell r="W6">
            <v>20.5</v>
          </cell>
          <cell r="X6">
            <v>23</v>
          </cell>
          <cell r="Y6" t="str">
            <v>-</v>
          </cell>
          <cell r="Z6">
            <v>196.5</v>
          </cell>
        </row>
        <row r="7">
          <cell r="A7" t="str">
            <v>446563160005</v>
          </cell>
          <cell r="B7" t="str">
            <v>BATAUSA</v>
          </cell>
          <cell r="C7" t="str">
            <v>RUEL ANDREW</v>
          </cell>
          <cell r="D7" t="str">
            <v>-</v>
          </cell>
          <cell r="E7" t="str">
            <v xml:space="preserve"> JABAL</v>
          </cell>
          <cell r="F7" t="str">
            <v>MALE</v>
          </cell>
          <cell r="G7" t="str">
            <v>08-26-2011</v>
          </cell>
          <cell r="H7">
            <v>86</v>
          </cell>
          <cell r="I7" t="str">
            <v>TUBIGON EAST CENTRAL ELEMENTARY SCH.</v>
          </cell>
          <cell r="J7" t="str">
            <v>MACAAS, TUBIGON, BOHOL</v>
          </cell>
          <cell r="K7">
            <v>118787</v>
          </cell>
          <cell r="L7" t="str">
            <v>DAISY</v>
          </cell>
          <cell r="M7" t="str">
            <v>2023-2024</v>
          </cell>
          <cell r="N7" t="str">
            <v>LOUDANIE-ANTONIETTE C. QUIDLAT</v>
          </cell>
          <cell r="O7">
            <v>20</v>
          </cell>
          <cell r="P7">
            <v>21</v>
          </cell>
          <cell r="Q7">
            <v>22</v>
          </cell>
          <cell r="R7">
            <v>17</v>
          </cell>
          <cell r="S7">
            <v>15</v>
          </cell>
          <cell r="T7">
            <v>19</v>
          </cell>
          <cell r="U7">
            <v>22</v>
          </cell>
          <cell r="V7">
            <v>20</v>
          </cell>
          <cell r="W7">
            <v>21</v>
          </cell>
          <cell r="X7">
            <v>23</v>
          </cell>
          <cell r="Y7" t="str">
            <v>-</v>
          </cell>
          <cell r="Z7">
            <v>200</v>
          </cell>
        </row>
        <row r="8">
          <cell r="A8" t="str">
            <v>118797150024</v>
          </cell>
          <cell r="B8" t="str">
            <v>BOTAR</v>
          </cell>
          <cell r="C8" t="str">
            <v>JOENEL</v>
          </cell>
          <cell r="D8" t="str">
            <v>JR.</v>
          </cell>
          <cell r="E8" t="str">
            <v xml:space="preserve"> NARVASA</v>
          </cell>
          <cell r="F8" t="str">
            <v>MALE</v>
          </cell>
          <cell r="G8" t="str">
            <v>08-16-2010</v>
          </cell>
          <cell r="H8">
            <v>78</v>
          </cell>
          <cell r="I8" t="str">
            <v>TUBIGON EAST CENTRAL ELEMENTARY SCH.</v>
          </cell>
          <cell r="J8" t="str">
            <v>MACAAS, TUBIGON, BOHOL</v>
          </cell>
          <cell r="K8">
            <v>118787</v>
          </cell>
          <cell r="L8" t="str">
            <v>DAISY</v>
          </cell>
          <cell r="M8" t="str">
            <v>2023-2024</v>
          </cell>
          <cell r="N8" t="str">
            <v>LOUDANIE-ANTONIETTE C. QUIDLAT</v>
          </cell>
          <cell r="O8">
            <v>20</v>
          </cell>
          <cell r="P8">
            <v>21</v>
          </cell>
          <cell r="Q8">
            <v>22</v>
          </cell>
          <cell r="R8">
            <v>17</v>
          </cell>
          <cell r="S8">
            <v>15</v>
          </cell>
          <cell r="T8">
            <v>14</v>
          </cell>
          <cell r="U8">
            <v>20</v>
          </cell>
          <cell r="V8">
            <v>21</v>
          </cell>
          <cell r="W8">
            <v>18</v>
          </cell>
          <cell r="X8">
            <v>23</v>
          </cell>
          <cell r="Y8" t="str">
            <v>-</v>
          </cell>
          <cell r="Z8">
            <v>191</v>
          </cell>
        </row>
        <row r="9">
          <cell r="A9" t="str">
            <v>118783160003</v>
          </cell>
          <cell r="B9" t="str">
            <v>BULILAN</v>
          </cell>
          <cell r="C9" t="str">
            <v>DIVAN</v>
          </cell>
          <cell r="D9" t="str">
            <v>-</v>
          </cell>
          <cell r="E9" t="str">
            <v xml:space="preserve"> GASTANES</v>
          </cell>
          <cell r="F9" t="str">
            <v>MALE</v>
          </cell>
          <cell r="G9" t="str">
            <v>05-09-2011</v>
          </cell>
          <cell r="H9">
            <v>87</v>
          </cell>
          <cell r="I9" t="str">
            <v>GUIWANON ELEMENTARY SCHOOL</v>
          </cell>
          <cell r="J9" t="str">
            <v>GUIWANON, TUBIGON, BOHOL</v>
          </cell>
          <cell r="K9">
            <v>118783</v>
          </cell>
          <cell r="L9" t="str">
            <v>DAISY</v>
          </cell>
          <cell r="M9" t="str">
            <v>2023-2024</v>
          </cell>
          <cell r="N9" t="str">
            <v>LOUDANIE-ANTONIETTE C. QUIDLAT</v>
          </cell>
          <cell r="O9">
            <v>20</v>
          </cell>
          <cell r="P9">
            <v>21</v>
          </cell>
          <cell r="Q9">
            <v>22</v>
          </cell>
          <cell r="R9">
            <v>17</v>
          </cell>
          <cell r="S9">
            <v>15</v>
          </cell>
          <cell r="T9">
            <v>19</v>
          </cell>
          <cell r="U9">
            <v>21</v>
          </cell>
          <cell r="V9">
            <v>20.5</v>
          </cell>
          <cell r="W9">
            <v>21</v>
          </cell>
          <cell r="X9">
            <v>23</v>
          </cell>
          <cell r="Y9" t="str">
            <v>-</v>
          </cell>
          <cell r="Z9">
            <v>199.5</v>
          </cell>
        </row>
        <row r="10">
          <cell r="A10" t="str">
            <v>118797150026</v>
          </cell>
          <cell r="B10" t="str">
            <v>CAMINOS</v>
          </cell>
          <cell r="C10" t="str">
            <v>NIÑO MEYNARD</v>
          </cell>
          <cell r="D10" t="str">
            <v>-</v>
          </cell>
          <cell r="E10" t="str">
            <v xml:space="preserve"> MEDIDAS</v>
          </cell>
          <cell r="F10" t="str">
            <v>MALE</v>
          </cell>
          <cell r="G10" t="str">
            <v>07-19-2010</v>
          </cell>
          <cell r="H10">
            <v>85</v>
          </cell>
          <cell r="I10" t="str">
            <v>TUBIGON WEST CENTRAL ELEMENTARY SCH.</v>
          </cell>
          <cell r="J10" t="str">
            <v>POOC ORIENTAL, TUBIGON, BOHOL</v>
          </cell>
          <cell r="K10">
            <v>118797</v>
          </cell>
          <cell r="L10" t="str">
            <v>DAISY</v>
          </cell>
          <cell r="M10" t="str">
            <v>2023-2024</v>
          </cell>
          <cell r="N10" t="str">
            <v>LOUDANIE-ANTONIETTE C. QUIDLAT</v>
          </cell>
          <cell r="O10">
            <v>19</v>
          </cell>
          <cell r="P10">
            <v>21</v>
          </cell>
          <cell r="Q10">
            <v>21</v>
          </cell>
          <cell r="R10">
            <v>13</v>
          </cell>
          <cell r="S10">
            <v>15</v>
          </cell>
          <cell r="T10">
            <v>18</v>
          </cell>
          <cell r="U10">
            <v>19</v>
          </cell>
          <cell r="V10">
            <v>20.5</v>
          </cell>
          <cell r="W10">
            <v>21</v>
          </cell>
          <cell r="X10">
            <v>23</v>
          </cell>
          <cell r="Y10" t="str">
            <v>-</v>
          </cell>
          <cell r="Z10">
            <v>190.5</v>
          </cell>
        </row>
        <row r="11">
          <cell r="A11" t="str">
            <v>446518150010</v>
          </cell>
          <cell r="B11" t="str">
            <v>COSARE</v>
          </cell>
          <cell r="C11" t="str">
            <v>JOHN REYMOND</v>
          </cell>
          <cell r="D11" t="str">
            <v>-</v>
          </cell>
          <cell r="E11" t="str">
            <v xml:space="preserve"> ATON</v>
          </cell>
          <cell r="F11" t="str">
            <v>MALE</v>
          </cell>
          <cell r="G11" t="str">
            <v>12-23-2010</v>
          </cell>
          <cell r="H11">
            <v>92</v>
          </cell>
          <cell r="I11" t="str">
            <v>BRIGHT MINDS LEARNING CENTER OF TUBIGON BOHOL, INC.</v>
          </cell>
          <cell r="J11" t="str">
            <v>POOC OCCIDENTAL TUBIGON, BOHOL</v>
          </cell>
          <cell r="K11">
            <v>446518</v>
          </cell>
          <cell r="L11" t="str">
            <v>DAISY</v>
          </cell>
          <cell r="M11" t="str">
            <v>2023-2024</v>
          </cell>
          <cell r="N11" t="str">
            <v>LOUDANIE-ANTONIETTE C. QUIDLAT</v>
          </cell>
          <cell r="O11">
            <v>20</v>
          </cell>
          <cell r="P11">
            <v>21</v>
          </cell>
          <cell r="Q11">
            <v>22</v>
          </cell>
          <cell r="R11">
            <v>15</v>
          </cell>
          <cell r="S11">
            <v>15</v>
          </cell>
          <cell r="T11">
            <v>19</v>
          </cell>
          <cell r="U11">
            <v>22</v>
          </cell>
          <cell r="V11">
            <v>22</v>
          </cell>
          <cell r="W11">
            <v>21</v>
          </cell>
          <cell r="X11">
            <v>23</v>
          </cell>
          <cell r="Y11" t="str">
            <v>-</v>
          </cell>
          <cell r="Z11">
            <v>200</v>
          </cell>
        </row>
        <row r="12">
          <cell r="A12" t="str">
            <v>118797160044</v>
          </cell>
          <cell r="B12" t="str">
            <v>COTURA</v>
          </cell>
          <cell r="C12" t="str">
            <v>JAMES BERNARD</v>
          </cell>
          <cell r="D12" t="str">
            <v>-</v>
          </cell>
          <cell r="E12" t="str">
            <v xml:space="preserve"> RUIZ</v>
          </cell>
          <cell r="F12" t="str">
            <v>MALE</v>
          </cell>
          <cell r="G12" t="str">
            <v>03-22-2011</v>
          </cell>
          <cell r="H12">
            <v>94</v>
          </cell>
          <cell r="I12" t="str">
            <v>TUBIGON WEST CENTRAL ELEMENTARY SCH.</v>
          </cell>
          <cell r="J12" t="str">
            <v>POOC ORIENTAL, TUBIGON, BOHOL</v>
          </cell>
          <cell r="K12">
            <v>118797</v>
          </cell>
          <cell r="L12" t="str">
            <v>DAISY</v>
          </cell>
          <cell r="M12" t="str">
            <v>2023-2024</v>
          </cell>
          <cell r="N12" t="str">
            <v>LOUDANIE-ANTONIETTE C. QUIDLAT</v>
          </cell>
          <cell r="O12">
            <v>20</v>
          </cell>
          <cell r="P12">
            <v>21</v>
          </cell>
          <cell r="Q12">
            <v>22</v>
          </cell>
          <cell r="R12">
            <v>16</v>
          </cell>
          <cell r="S12">
            <v>15</v>
          </cell>
          <cell r="T12">
            <v>17</v>
          </cell>
          <cell r="U12">
            <v>21</v>
          </cell>
          <cell r="V12">
            <v>22</v>
          </cell>
          <cell r="W12">
            <v>20</v>
          </cell>
          <cell r="X12">
            <v>23</v>
          </cell>
          <cell r="Y12" t="str">
            <v>-</v>
          </cell>
          <cell r="Z12">
            <v>197</v>
          </cell>
        </row>
        <row r="13">
          <cell r="A13" t="str">
            <v>446511150029</v>
          </cell>
          <cell r="B13" t="str">
            <v>FERMO</v>
          </cell>
          <cell r="C13" t="str">
            <v>CLARK MOSES</v>
          </cell>
          <cell r="D13" t="str">
            <v>-</v>
          </cell>
          <cell r="E13" t="str">
            <v xml:space="preserve"> SUELLO</v>
          </cell>
          <cell r="F13" t="str">
            <v>MALE</v>
          </cell>
          <cell r="G13" t="str">
            <v>03-20-2011</v>
          </cell>
          <cell r="H13">
            <v>95</v>
          </cell>
          <cell r="I13" t="str">
            <v>CABULIJAN ELEMENTARY SCHOOL</v>
          </cell>
          <cell r="J13" t="str">
            <v>CABULIJAN, TUBIGON, BOHOL</v>
          </cell>
          <cell r="K13">
            <v>118778</v>
          </cell>
          <cell r="L13" t="str">
            <v>DAISY</v>
          </cell>
          <cell r="M13" t="str">
            <v>2023-2024</v>
          </cell>
          <cell r="N13" t="str">
            <v>LOUDANIE-ANTONIETTE C. QUIDLAT</v>
          </cell>
          <cell r="O13">
            <v>20</v>
          </cell>
          <cell r="P13">
            <v>21</v>
          </cell>
          <cell r="Q13">
            <v>22</v>
          </cell>
          <cell r="R13">
            <v>17</v>
          </cell>
          <cell r="S13">
            <v>15</v>
          </cell>
          <cell r="T13">
            <v>19</v>
          </cell>
          <cell r="U13">
            <v>22</v>
          </cell>
          <cell r="V13">
            <v>20.5</v>
          </cell>
          <cell r="W13">
            <v>20</v>
          </cell>
          <cell r="X13">
            <v>23</v>
          </cell>
          <cell r="Y13" t="str">
            <v>-</v>
          </cell>
          <cell r="Z13">
            <v>199.5</v>
          </cell>
        </row>
        <row r="14">
          <cell r="A14" t="str">
            <v>118787160011</v>
          </cell>
          <cell r="B14" t="str">
            <v>FRANCISCO</v>
          </cell>
          <cell r="C14" t="str">
            <v>JHAISEAN</v>
          </cell>
          <cell r="D14" t="str">
            <v>-</v>
          </cell>
          <cell r="E14" t="str">
            <v xml:space="preserve"> REALIN</v>
          </cell>
          <cell r="F14" t="str">
            <v>MALE</v>
          </cell>
          <cell r="G14" t="str">
            <v>12-29-2010</v>
          </cell>
          <cell r="H14">
            <v>85</v>
          </cell>
          <cell r="I14" t="str">
            <v>TUBIGON EAST CENTRAL ELEMENTARY SCH.</v>
          </cell>
          <cell r="J14" t="str">
            <v>MACAAS, TUBIGON, BOHOL</v>
          </cell>
          <cell r="K14">
            <v>118787</v>
          </cell>
          <cell r="L14" t="str">
            <v>DAISY</v>
          </cell>
          <cell r="M14" t="str">
            <v>2023-2024</v>
          </cell>
          <cell r="N14" t="str">
            <v>LOUDANIE-ANTONIETTE C. QUIDLAT</v>
          </cell>
          <cell r="O14">
            <v>20</v>
          </cell>
          <cell r="P14">
            <v>21</v>
          </cell>
          <cell r="Q14">
            <v>22</v>
          </cell>
          <cell r="R14">
            <v>17</v>
          </cell>
          <cell r="S14">
            <v>15</v>
          </cell>
          <cell r="T14">
            <v>19</v>
          </cell>
          <cell r="U14">
            <v>21</v>
          </cell>
          <cell r="V14">
            <v>22</v>
          </cell>
          <cell r="W14">
            <v>21</v>
          </cell>
          <cell r="X14">
            <v>23</v>
          </cell>
          <cell r="Y14" t="str">
            <v>-</v>
          </cell>
          <cell r="Z14">
            <v>201</v>
          </cell>
        </row>
        <row r="15">
          <cell r="A15" t="str">
            <v>118787160009</v>
          </cell>
          <cell r="B15" t="str">
            <v>GELICAME</v>
          </cell>
          <cell r="C15" t="str">
            <v>KEITH</v>
          </cell>
          <cell r="D15" t="str">
            <v>-</v>
          </cell>
          <cell r="E15" t="str">
            <v xml:space="preserve"> ABARQUEZ</v>
          </cell>
          <cell r="F15" t="str">
            <v>MALE</v>
          </cell>
          <cell r="G15" t="str">
            <v>12-21-2010</v>
          </cell>
          <cell r="H15">
            <v>83</v>
          </cell>
          <cell r="I15" t="str">
            <v>TUBIGON EAST CENTRAL ELEMENTARY SCH.</v>
          </cell>
          <cell r="J15" t="str">
            <v>MACAAS, TUBIGON, BOHOL</v>
          </cell>
          <cell r="K15">
            <v>118787</v>
          </cell>
          <cell r="L15" t="str">
            <v>DAISY</v>
          </cell>
          <cell r="M15" t="str">
            <v>2023-2024</v>
          </cell>
          <cell r="N15" t="str">
            <v>LOUDANIE-ANTONIETTE C. QUIDLAT</v>
          </cell>
          <cell r="O15">
            <v>20</v>
          </cell>
          <cell r="P15">
            <v>21</v>
          </cell>
          <cell r="Q15">
            <v>21</v>
          </cell>
          <cell r="R15">
            <v>17</v>
          </cell>
          <cell r="S15">
            <v>15</v>
          </cell>
          <cell r="T15">
            <v>19</v>
          </cell>
          <cell r="U15">
            <v>22</v>
          </cell>
          <cell r="V15">
            <v>20.5</v>
          </cell>
          <cell r="W15">
            <v>21</v>
          </cell>
          <cell r="X15">
            <v>23</v>
          </cell>
          <cell r="Y15" t="str">
            <v>-</v>
          </cell>
          <cell r="Z15">
            <v>199.5</v>
          </cell>
        </row>
        <row r="16">
          <cell r="A16" t="str">
            <v>118787160010</v>
          </cell>
          <cell r="B16" t="str">
            <v>GULAYAN</v>
          </cell>
          <cell r="C16" t="str">
            <v>JOHN LEANDER</v>
          </cell>
          <cell r="D16" t="str">
            <v>-</v>
          </cell>
          <cell r="E16" t="str">
            <v xml:space="preserve"> COQUILLA</v>
          </cell>
          <cell r="F16" t="str">
            <v>MALE</v>
          </cell>
          <cell r="G16" t="str">
            <v>01-22-2011</v>
          </cell>
          <cell r="H16">
            <v>91</v>
          </cell>
          <cell r="I16" t="str">
            <v>TUBIGON EAST CENTRAL ELEMENTARY SCH.</v>
          </cell>
          <cell r="J16" t="str">
            <v>MACAAS, TUBIGON, BOHOL</v>
          </cell>
          <cell r="K16">
            <v>118787</v>
          </cell>
          <cell r="L16" t="str">
            <v>DAISY</v>
          </cell>
          <cell r="M16" t="str">
            <v>2023-2024</v>
          </cell>
          <cell r="N16" t="str">
            <v>LOUDANIE-ANTONIETTE C. QUIDLAT</v>
          </cell>
          <cell r="O16">
            <v>20</v>
          </cell>
          <cell r="P16">
            <v>21</v>
          </cell>
          <cell r="Q16">
            <v>22</v>
          </cell>
          <cell r="R16">
            <v>17</v>
          </cell>
          <cell r="S16">
            <v>15</v>
          </cell>
          <cell r="T16">
            <v>19</v>
          </cell>
          <cell r="U16">
            <v>22</v>
          </cell>
          <cell r="V16">
            <v>22</v>
          </cell>
          <cell r="W16">
            <v>21</v>
          </cell>
          <cell r="X16">
            <v>23</v>
          </cell>
          <cell r="Y16" t="str">
            <v>-</v>
          </cell>
          <cell r="Z16">
            <v>202</v>
          </cell>
        </row>
        <row r="17">
          <cell r="A17" t="str">
            <v>446511170001</v>
          </cell>
          <cell r="B17" t="str">
            <v>LANOY</v>
          </cell>
          <cell r="C17" t="str">
            <v>JOSHER KRIS</v>
          </cell>
          <cell r="D17" t="str">
            <v>-</v>
          </cell>
          <cell r="E17" t="str">
            <v xml:space="preserve"> SAB</v>
          </cell>
          <cell r="F17" t="str">
            <v>MALE</v>
          </cell>
          <cell r="G17" t="str">
            <v>08-17-2011</v>
          </cell>
          <cell r="H17">
            <v>97</v>
          </cell>
          <cell r="I17" t="str">
            <v>TUBIGON EAST CENTRAL ELEMENTARY SCH.</v>
          </cell>
          <cell r="J17" t="str">
            <v>MACAAS, TUBIGON, BOHOL</v>
          </cell>
          <cell r="K17">
            <v>118787</v>
          </cell>
          <cell r="L17" t="str">
            <v>DAISY</v>
          </cell>
          <cell r="M17" t="str">
            <v>2023-2024</v>
          </cell>
          <cell r="N17" t="str">
            <v>LOUDANIE-ANTONIETTE C. QUIDLAT</v>
          </cell>
          <cell r="O17">
            <v>20</v>
          </cell>
          <cell r="P17">
            <v>21</v>
          </cell>
          <cell r="Q17">
            <v>22</v>
          </cell>
          <cell r="R17">
            <v>17</v>
          </cell>
          <cell r="S17">
            <v>15</v>
          </cell>
          <cell r="T17">
            <v>19</v>
          </cell>
          <cell r="U17">
            <v>22</v>
          </cell>
          <cell r="V17">
            <v>22</v>
          </cell>
          <cell r="W17">
            <v>20</v>
          </cell>
          <cell r="X17">
            <v>22</v>
          </cell>
          <cell r="Y17" t="str">
            <v>-</v>
          </cell>
          <cell r="Z17">
            <v>200</v>
          </cell>
        </row>
        <row r="18">
          <cell r="A18" t="str">
            <v>446511150022</v>
          </cell>
          <cell r="B18" t="str">
            <v>LANOY</v>
          </cell>
          <cell r="C18" t="str">
            <v>XIANN EMERSON</v>
          </cell>
          <cell r="D18" t="str">
            <v>-</v>
          </cell>
          <cell r="E18" t="str">
            <v xml:space="preserve"> BARCENAS</v>
          </cell>
          <cell r="F18" t="str">
            <v>MALE</v>
          </cell>
          <cell r="G18" t="str">
            <v>08-15-2011</v>
          </cell>
          <cell r="H18">
            <v>89</v>
          </cell>
          <cell r="I18" t="str">
            <v>TUBIGON EAST CENTRAL ELEMENTARY SCH.</v>
          </cell>
          <cell r="J18" t="str">
            <v>MACAAS, TUBIGON, BOHOL</v>
          </cell>
          <cell r="K18">
            <v>118787</v>
          </cell>
          <cell r="L18" t="str">
            <v>DAISY</v>
          </cell>
          <cell r="M18" t="str">
            <v>2023-2024</v>
          </cell>
          <cell r="N18" t="str">
            <v>LOUDANIE-ANTONIETTE C. QUIDLAT</v>
          </cell>
          <cell r="O18">
            <v>20</v>
          </cell>
          <cell r="P18">
            <v>21</v>
          </cell>
          <cell r="Q18">
            <v>22</v>
          </cell>
          <cell r="R18">
            <v>17</v>
          </cell>
          <cell r="S18">
            <v>15</v>
          </cell>
          <cell r="T18">
            <v>19</v>
          </cell>
          <cell r="U18">
            <v>22</v>
          </cell>
          <cell r="V18">
            <v>22</v>
          </cell>
          <cell r="W18">
            <v>21</v>
          </cell>
          <cell r="X18">
            <v>23</v>
          </cell>
          <cell r="Y18" t="str">
            <v>-</v>
          </cell>
          <cell r="Z18">
            <v>202</v>
          </cell>
        </row>
        <row r="19">
          <cell r="A19" t="str">
            <v>404287150424</v>
          </cell>
          <cell r="B19" t="str">
            <v>LESULA</v>
          </cell>
          <cell r="C19" t="str">
            <v>CHRISTOFF ANTHONY</v>
          </cell>
          <cell r="D19" t="str">
            <v>-</v>
          </cell>
          <cell r="E19" t="str">
            <v xml:space="preserve"> BERDIN</v>
          </cell>
          <cell r="F19" t="str">
            <v>MALE</v>
          </cell>
          <cell r="G19" t="str">
            <v>06-11-2010</v>
          </cell>
          <cell r="H19">
            <v>88</v>
          </cell>
          <cell r="I19" t="str">
            <v>TUBIGON WEST CENTRAL ELEMENTARY SCH.</v>
          </cell>
          <cell r="J19" t="str">
            <v>POOC ORIENTAL, TUBIGON, BOHOL</v>
          </cell>
          <cell r="K19">
            <v>118797</v>
          </cell>
          <cell r="L19" t="str">
            <v>DAISY</v>
          </cell>
          <cell r="M19" t="str">
            <v>2023-2024</v>
          </cell>
          <cell r="N19" t="str">
            <v>LOUDANIE-ANTONIETTE C. QUIDLAT</v>
          </cell>
          <cell r="O19">
            <v>20</v>
          </cell>
          <cell r="P19">
            <v>21</v>
          </cell>
          <cell r="Q19">
            <v>22</v>
          </cell>
          <cell r="R19">
            <v>17</v>
          </cell>
          <cell r="S19">
            <v>15</v>
          </cell>
          <cell r="T19">
            <v>19</v>
          </cell>
          <cell r="U19">
            <v>22</v>
          </cell>
          <cell r="V19">
            <v>20.5</v>
          </cell>
          <cell r="W19">
            <v>21</v>
          </cell>
          <cell r="X19">
            <v>23</v>
          </cell>
          <cell r="Y19" t="str">
            <v>-</v>
          </cell>
          <cell r="Z19">
            <v>200.5</v>
          </cell>
        </row>
        <row r="20">
          <cell r="A20" t="str">
            <v>118787170018</v>
          </cell>
          <cell r="B20" t="str">
            <v>LOZANO</v>
          </cell>
          <cell r="C20" t="str">
            <v>JEZREEL JARETH</v>
          </cell>
          <cell r="D20" t="str">
            <v>-</v>
          </cell>
          <cell r="E20" t="str">
            <v xml:space="preserve"> AQUINO</v>
          </cell>
          <cell r="F20" t="str">
            <v>MALE</v>
          </cell>
          <cell r="G20" t="str">
            <v>12-09-2010</v>
          </cell>
          <cell r="H20">
            <v>86</v>
          </cell>
          <cell r="I20" t="str">
            <v>TUBIGON EAST CENTRAL ELEMENTARY SCH.</v>
          </cell>
          <cell r="J20" t="str">
            <v>MACAAS, TUBIGON, BOHOL</v>
          </cell>
          <cell r="K20">
            <v>118787</v>
          </cell>
          <cell r="L20" t="str">
            <v>DAISY</v>
          </cell>
          <cell r="M20" t="str">
            <v>2023-2024</v>
          </cell>
          <cell r="N20" t="str">
            <v>LOUDANIE-ANTONIETTE C. QUIDLAT</v>
          </cell>
          <cell r="O20">
            <v>20</v>
          </cell>
          <cell r="P20">
            <v>20</v>
          </cell>
          <cell r="Q20">
            <v>22</v>
          </cell>
          <cell r="R20">
            <v>14</v>
          </cell>
          <cell r="S20">
            <v>15</v>
          </cell>
          <cell r="T20">
            <v>17</v>
          </cell>
          <cell r="U20">
            <v>21</v>
          </cell>
          <cell r="V20">
            <v>18.5</v>
          </cell>
          <cell r="W20">
            <v>19</v>
          </cell>
          <cell r="X20">
            <v>22</v>
          </cell>
          <cell r="Y20" t="str">
            <v>-</v>
          </cell>
          <cell r="Z20">
            <v>188.5</v>
          </cell>
        </row>
        <row r="21">
          <cell r="A21" t="str">
            <v>446569150039</v>
          </cell>
          <cell r="B21" t="str">
            <v>MAGATAO</v>
          </cell>
          <cell r="C21" t="str">
            <v>FELIX MIGUEL</v>
          </cell>
          <cell r="D21" t="str">
            <v>-</v>
          </cell>
          <cell r="E21" t="str">
            <v xml:space="preserve"> IGCALINOS</v>
          </cell>
          <cell r="F21" t="str">
            <v>MALE</v>
          </cell>
          <cell r="G21" t="str">
            <v>10-07-2011</v>
          </cell>
          <cell r="H21">
            <v>85</v>
          </cell>
          <cell r="I21" t="str">
            <v>LA LIBERTAD ELEMENTARY SCHOOL</v>
          </cell>
          <cell r="J21" t="str">
            <v>LA LIBERTAD, CARMEN, BOHOL</v>
          </cell>
          <cell r="K21">
            <v>118141</v>
          </cell>
          <cell r="L21" t="str">
            <v>DAISY</v>
          </cell>
          <cell r="M21" t="str">
            <v>2023-2024</v>
          </cell>
          <cell r="N21" t="str">
            <v>LOUDANIE-ANTONIETTE C. QUIDLAT</v>
          </cell>
          <cell r="O21">
            <v>20</v>
          </cell>
          <cell r="P21">
            <v>21</v>
          </cell>
          <cell r="Q21">
            <v>21</v>
          </cell>
          <cell r="R21">
            <v>17</v>
          </cell>
          <cell r="S21">
            <v>15</v>
          </cell>
          <cell r="T21">
            <v>19</v>
          </cell>
          <cell r="U21">
            <v>22</v>
          </cell>
          <cell r="V21">
            <v>21</v>
          </cell>
          <cell r="W21">
            <v>21</v>
          </cell>
          <cell r="X21">
            <v>23</v>
          </cell>
          <cell r="Y21" t="str">
            <v>-</v>
          </cell>
          <cell r="Z21">
            <v>200</v>
          </cell>
        </row>
        <row r="22">
          <cell r="A22" t="str">
            <v>118778160006</v>
          </cell>
          <cell r="B22" t="str">
            <v>MAGLAWAY</v>
          </cell>
          <cell r="C22" t="str">
            <v>LEAN JACOB</v>
          </cell>
          <cell r="D22" t="str">
            <v>-</v>
          </cell>
          <cell r="E22" t="str">
            <v xml:space="preserve"> JABAL</v>
          </cell>
          <cell r="F22" t="str">
            <v>MALE</v>
          </cell>
          <cell r="G22" t="str">
            <v>02-12-2011</v>
          </cell>
          <cell r="H22">
            <v>91</v>
          </cell>
          <cell r="I22" t="str">
            <v>CABULIJAN ELEMENTARY SCHOOL</v>
          </cell>
          <cell r="J22" t="str">
            <v>CABULIJAN, TUBIGON, BOHOL</v>
          </cell>
          <cell r="K22">
            <v>118778</v>
          </cell>
          <cell r="L22" t="str">
            <v>DAISY</v>
          </cell>
          <cell r="M22" t="str">
            <v>2023-2024</v>
          </cell>
          <cell r="N22" t="str">
            <v>LOUDANIE-ANTONIETTE C. QUIDLAT</v>
          </cell>
          <cell r="O22">
            <v>20</v>
          </cell>
          <cell r="P22">
            <v>21</v>
          </cell>
          <cell r="Q22">
            <v>22</v>
          </cell>
          <cell r="R22">
            <v>16</v>
          </cell>
          <cell r="S22">
            <v>14</v>
          </cell>
          <cell r="T22">
            <v>19</v>
          </cell>
          <cell r="U22">
            <v>22</v>
          </cell>
          <cell r="V22">
            <v>22</v>
          </cell>
          <cell r="W22">
            <v>21</v>
          </cell>
          <cell r="X22">
            <v>23</v>
          </cell>
          <cell r="Y22" t="str">
            <v>-</v>
          </cell>
          <cell r="Z22">
            <v>200</v>
          </cell>
        </row>
        <row r="23">
          <cell r="A23" t="str">
            <v>118787160024</v>
          </cell>
          <cell r="B23" t="str">
            <v>MALABO</v>
          </cell>
          <cell r="C23" t="str">
            <v>KYLE JOHN PHILIP</v>
          </cell>
          <cell r="D23" t="str">
            <v>-</v>
          </cell>
          <cell r="E23" t="str">
            <v xml:space="preserve"> ARANAS</v>
          </cell>
          <cell r="F23" t="str">
            <v>MALE</v>
          </cell>
          <cell r="G23" t="str">
            <v>06-09-2011</v>
          </cell>
          <cell r="H23">
            <v>85</v>
          </cell>
          <cell r="I23" t="str">
            <v>TUBIGON EAST CENTRAL ELEMENTARY SCH.</v>
          </cell>
          <cell r="J23" t="str">
            <v>MACAAS, TUBIGON, BOHOL</v>
          </cell>
          <cell r="K23">
            <v>118787</v>
          </cell>
          <cell r="L23" t="str">
            <v>DAISY</v>
          </cell>
          <cell r="M23" t="str">
            <v>2023-2024</v>
          </cell>
          <cell r="N23" t="str">
            <v>LOUDANIE-ANTONIETTE C. QUIDLAT</v>
          </cell>
          <cell r="O23">
            <v>20</v>
          </cell>
          <cell r="P23">
            <v>18</v>
          </cell>
          <cell r="Q23">
            <v>21</v>
          </cell>
          <cell r="R23">
            <v>16</v>
          </cell>
          <cell r="S23">
            <v>14</v>
          </cell>
          <cell r="T23">
            <v>19</v>
          </cell>
          <cell r="U23">
            <v>17</v>
          </cell>
          <cell r="V23">
            <v>22</v>
          </cell>
          <cell r="W23">
            <v>21</v>
          </cell>
          <cell r="X23">
            <v>23</v>
          </cell>
          <cell r="Y23" t="str">
            <v>-</v>
          </cell>
          <cell r="Z23">
            <v>191</v>
          </cell>
        </row>
        <row r="24">
          <cell r="A24" t="str">
            <v>446518150011</v>
          </cell>
          <cell r="B24" t="str">
            <v>MONTILDE</v>
          </cell>
          <cell r="C24" t="str">
            <v>AUSTIN JOSH</v>
          </cell>
          <cell r="D24" t="str">
            <v>-</v>
          </cell>
          <cell r="E24" t="str">
            <v xml:space="preserve"> -</v>
          </cell>
          <cell r="F24" t="str">
            <v>MALE</v>
          </cell>
          <cell r="G24" t="str">
            <v>05-19-2011</v>
          </cell>
          <cell r="H24">
            <v>87</v>
          </cell>
          <cell r="I24" t="str">
            <v>TUBIGON EAST CENTRAL ELEMENTARY SCH.</v>
          </cell>
          <cell r="J24" t="str">
            <v>MACAAS, TUBIGON, BOHOL</v>
          </cell>
          <cell r="K24">
            <v>118787</v>
          </cell>
          <cell r="L24" t="str">
            <v>DAISY</v>
          </cell>
          <cell r="M24" t="str">
            <v>2023-2024</v>
          </cell>
          <cell r="N24" t="str">
            <v>LOUDANIE-ANTONIETTE C. QUIDLAT</v>
          </cell>
          <cell r="O24">
            <v>20</v>
          </cell>
          <cell r="P24">
            <v>21</v>
          </cell>
          <cell r="Q24">
            <v>20</v>
          </cell>
          <cell r="R24">
            <v>16</v>
          </cell>
          <cell r="S24">
            <v>15</v>
          </cell>
          <cell r="T24">
            <v>15</v>
          </cell>
          <cell r="U24">
            <v>21</v>
          </cell>
          <cell r="V24">
            <v>22</v>
          </cell>
          <cell r="W24">
            <v>21</v>
          </cell>
          <cell r="X24">
            <v>23</v>
          </cell>
          <cell r="Y24" t="str">
            <v>-</v>
          </cell>
          <cell r="Z24">
            <v>194</v>
          </cell>
        </row>
        <row r="25">
          <cell r="A25" t="str">
            <v>446534150025</v>
          </cell>
          <cell r="B25" t="str">
            <v>MONTUYA</v>
          </cell>
          <cell r="C25" t="str">
            <v>JAN DALE</v>
          </cell>
          <cell r="D25" t="str">
            <v>-</v>
          </cell>
          <cell r="E25" t="str">
            <v xml:space="preserve"> PAESTE</v>
          </cell>
          <cell r="F25" t="str">
            <v>MALE</v>
          </cell>
          <cell r="G25" t="str">
            <v>01-07-2011</v>
          </cell>
          <cell r="H25">
            <v>86</v>
          </cell>
          <cell r="I25" t="str">
            <v>CAHAYAG ELEMENTARY SCHOOL</v>
          </cell>
          <cell r="J25" t="str">
            <v>CAHAYAG, TUBIGON, BOHOL</v>
          </cell>
          <cell r="K25">
            <v>118779</v>
          </cell>
          <cell r="L25" t="str">
            <v>DAISY</v>
          </cell>
          <cell r="M25" t="str">
            <v>2023-2024</v>
          </cell>
          <cell r="N25" t="str">
            <v>LOUDANIE-ANTONIETTE C. QUIDLAT</v>
          </cell>
          <cell r="O25">
            <v>20</v>
          </cell>
          <cell r="P25">
            <v>21</v>
          </cell>
          <cell r="Q25">
            <v>21</v>
          </cell>
          <cell r="R25">
            <v>17</v>
          </cell>
          <cell r="S25">
            <v>15</v>
          </cell>
          <cell r="T25">
            <v>18</v>
          </cell>
          <cell r="U25">
            <v>22</v>
          </cell>
          <cell r="V25">
            <v>22</v>
          </cell>
          <cell r="W25">
            <v>21</v>
          </cell>
          <cell r="X25">
            <v>23</v>
          </cell>
          <cell r="Y25" t="str">
            <v>-</v>
          </cell>
          <cell r="Z25">
            <v>200</v>
          </cell>
        </row>
        <row r="26">
          <cell r="A26" t="str">
            <v>446511150035</v>
          </cell>
          <cell r="B26" t="str">
            <v>PADOR</v>
          </cell>
          <cell r="C26" t="str">
            <v>FRITZ CARLO</v>
          </cell>
          <cell r="D26" t="str">
            <v>-</v>
          </cell>
          <cell r="E26" t="str">
            <v xml:space="preserve"> NOTARTE</v>
          </cell>
          <cell r="F26" t="str">
            <v>MALE</v>
          </cell>
          <cell r="G26" t="str">
            <v>01-19-2011</v>
          </cell>
          <cell r="H26">
            <v>84</v>
          </cell>
          <cell r="I26" t="str">
            <v>TUBIGON EAST CENTRAL ELEMENTARY SCH.</v>
          </cell>
          <cell r="J26" t="str">
            <v>MACAAS, TUBIGON, BOHOL</v>
          </cell>
          <cell r="K26">
            <v>118787</v>
          </cell>
          <cell r="L26" t="str">
            <v>DAISY</v>
          </cell>
          <cell r="M26" t="str">
            <v>2023-2024</v>
          </cell>
          <cell r="N26" t="str">
            <v>LOUDANIE-ANTONIETTE C. QUIDLAT</v>
          </cell>
          <cell r="O26">
            <v>20</v>
          </cell>
          <cell r="P26">
            <v>21</v>
          </cell>
          <cell r="Q26">
            <v>20</v>
          </cell>
          <cell r="R26">
            <v>15</v>
          </cell>
          <cell r="S26">
            <v>15</v>
          </cell>
          <cell r="T26">
            <v>14</v>
          </cell>
          <cell r="U26">
            <v>22</v>
          </cell>
          <cell r="V26">
            <v>22</v>
          </cell>
          <cell r="W26">
            <v>20</v>
          </cell>
          <cell r="X26">
            <v>23</v>
          </cell>
          <cell r="Y26" t="str">
            <v>-</v>
          </cell>
          <cell r="Z26">
            <v>192</v>
          </cell>
        </row>
        <row r="27">
          <cell r="A27" t="str">
            <v>446511150036</v>
          </cell>
          <cell r="B27" t="str">
            <v>PANGAN</v>
          </cell>
          <cell r="C27" t="str">
            <v>MARK NIÑO</v>
          </cell>
          <cell r="D27" t="str">
            <v>-</v>
          </cell>
          <cell r="E27" t="str">
            <v xml:space="preserve"> GOMEZ</v>
          </cell>
          <cell r="F27" t="str">
            <v>MALE</v>
          </cell>
          <cell r="G27" t="str">
            <v>09-05-2010</v>
          </cell>
          <cell r="H27">
            <v>96</v>
          </cell>
          <cell r="I27" t="str">
            <v>TUBIGON EAST CENTRAL ELEMENTARY SCH.</v>
          </cell>
          <cell r="J27" t="str">
            <v>MACAAS, TUBIGON, BOHOL</v>
          </cell>
          <cell r="K27">
            <v>118787</v>
          </cell>
          <cell r="L27" t="str">
            <v>DAISY</v>
          </cell>
          <cell r="M27" t="str">
            <v>2023-2024</v>
          </cell>
          <cell r="N27" t="str">
            <v>LOUDANIE-ANTONIETTE C. QUIDLAT</v>
          </cell>
          <cell r="O27">
            <v>20</v>
          </cell>
          <cell r="P27">
            <v>20</v>
          </cell>
          <cell r="Q27">
            <v>22</v>
          </cell>
          <cell r="R27">
            <v>17</v>
          </cell>
          <cell r="S27">
            <v>15</v>
          </cell>
          <cell r="T27">
            <v>19</v>
          </cell>
          <cell r="U27">
            <v>22</v>
          </cell>
          <cell r="V27">
            <v>22</v>
          </cell>
          <cell r="W27">
            <v>21</v>
          </cell>
          <cell r="X27">
            <v>23</v>
          </cell>
          <cell r="Y27" t="str">
            <v>-</v>
          </cell>
          <cell r="Z27">
            <v>201</v>
          </cell>
        </row>
        <row r="28">
          <cell r="A28" t="str">
            <v>446534160002</v>
          </cell>
          <cell r="B28" t="str">
            <v>QUIDLAT</v>
          </cell>
          <cell r="C28" t="str">
            <v>DANE ZOREANDIL</v>
          </cell>
          <cell r="D28" t="str">
            <v>-</v>
          </cell>
          <cell r="E28" t="str">
            <v xml:space="preserve"> CUBELO</v>
          </cell>
          <cell r="F28" t="str">
            <v>MALE</v>
          </cell>
          <cell r="G28" t="str">
            <v>12-22-2010</v>
          </cell>
          <cell r="H28">
            <v>87</v>
          </cell>
          <cell r="I28" t="str">
            <v>TUBIGON WEST CENTRAL ELEMENTARY SCH.</v>
          </cell>
          <cell r="J28" t="str">
            <v>POOC ORIENTAL, TUBIGON, BOHOL</v>
          </cell>
          <cell r="K28">
            <v>118797</v>
          </cell>
          <cell r="L28" t="str">
            <v>DAISY</v>
          </cell>
          <cell r="M28" t="str">
            <v>2023-2024</v>
          </cell>
          <cell r="N28" t="str">
            <v>LOUDANIE-ANTONIETTE C. QUIDLAT</v>
          </cell>
          <cell r="O28">
            <v>20</v>
          </cell>
          <cell r="P28">
            <v>21</v>
          </cell>
          <cell r="Q28">
            <v>22</v>
          </cell>
          <cell r="R28">
            <v>17</v>
          </cell>
          <cell r="S28">
            <v>15</v>
          </cell>
          <cell r="T28">
            <v>19</v>
          </cell>
          <cell r="U28">
            <v>22</v>
          </cell>
          <cell r="V28">
            <v>22</v>
          </cell>
          <cell r="W28">
            <v>21</v>
          </cell>
          <cell r="X28">
            <v>23</v>
          </cell>
          <cell r="Y28" t="str">
            <v>-</v>
          </cell>
          <cell r="Z28">
            <v>202</v>
          </cell>
        </row>
        <row r="29">
          <cell r="A29" t="str">
            <v>446563160017</v>
          </cell>
          <cell r="B29" t="str">
            <v>SUMALINOG</v>
          </cell>
          <cell r="C29" t="str">
            <v>JOBERT</v>
          </cell>
          <cell r="E29" t="str">
            <v xml:space="preserve"> BATAUSA</v>
          </cell>
          <cell r="F29" t="str">
            <v>MALE</v>
          </cell>
          <cell r="G29" t="str">
            <v>03-29-2011</v>
          </cell>
          <cell r="H29">
            <v>85</v>
          </cell>
          <cell r="I29" t="str">
            <v>TUBIGON EAST CENTRAL ELEMENTARY SCH.</v>
          </cell>
          <cell r="J29" t="str">
            <v>MACAAS, TUBIGON, BOHOL</v>
          </cell>
          <cell r="K29">
            <v>118787</v>
          </cell>
          <cell r="L29" t="str">
            <v>DAISY</v>
          </cell>
          <cell r="M29" t="str">
            <v>2023-2024</v>
          </cell>
          <cell r="N29" t="str">
            <v>LOUDANIE-ANTONIETTE C. QUIDLAT</v>
          </cell>
          <cell r="O29">
            <v>20</v>
          </cell>
          <cell r="P29">
            <v>21</v>
          </cell>
          <cell r="Q29">
            <v>22</v>
          </cell>
          <cell r="R29">
            <v>17</v>
          </cell>
          <cell r="S29">
            <v>15</v>
          </cell>
          <cell r="T29">
            <v>19</v>
          </cell>
          <cell r="U29">
            <v>22</v>
          </cell>
          <cell r="V29">
            <v>22</v>
          </cell>
          <cell r="W29">
            <v>21</v>
          </cell>
          <cell r="X29">
            <v>23</v>
          </cell>
          <cell r="Y29" t="str">
            <v>-</v>
          </cell>
          <cell r="Z29">
            <v>202</v>
          </cell>
        </row>
        <row r="30">
          <cell r="A30" t="str">
            <v>404587160236</v>
          </cell>
          <cell r="B30" t="str">
            <v>SUMAYANG</v>
          </cell>
          <cell r="C30" t="str">
            <v>NATHANIEL BENEDICT</v>
          </cell>
          <cell r="D30" t="str">
            <v>-</v>
          </cell>
          <cell r="E30" t="str">
            <v xml:space="preserve"> -</v>
          </cell>
          <cell r="F30" t="str">
            <v>MALE</v>
          </cell>
          <cell r="G30" t="str">
            <v>05-15-2011</v>
          </cell>
          <cell r="H30">
            <v>96</v>
          </cell>
          <cell r="I30" t="str">
            <v>BRIGHT MINDS LEARNING CENTER OF TUBIGON BOHOL, INC.</v>
          </cell>
          <cell r="J30" t="str">
            <v>POOC OCCIDENTAL TUBIGON, BOHOL</v>
          </cell>
          <cell r="K30">
            <v>446518</v>
          </cell>
          <cell r="L30" t="str">
            <v>DAISY</v>
          </cell>
          <cell r="M30" t="str">
            <v>2023-2024</v>
          </cell>
          <cell r="N30" t="str">
            <v>LOUDANIE-ANTONIETTE C. QUIDLAT</v>
          </cell>
          <cell r="O30">
            <v>20</v>
          </cell>
          <cell r="P30">
            <v>21</v>
          </cell>
          <cell r="Q30">
            <v>22</v>
          </cell>
          <cell r="R30">
            <v>17</v>
          </cell>
          <cell r="S30">
            <v>15</v>
          </cell>
          <cell r="T30">
            <v>19</v>
          </cell>
          <cell r="U30">
            <v>22</v>
          </cell>
          <cell r="V30">
            <v>21.5</v>
          </cell>
          <cell r="W30">
            <v>21</v>
          </cell>
          <cell r="X30">
            <v>23</v>
          </cell>
          <cell r="Y30" t="str">
            <v>-</v>
          </cell>
          <cell r="Z30">
            <v>201.5</v>
          </cell>
        </row>
        <row r="31">
          <cell r="A31" t="str">
            <v>446511160015</v>
          </cell>
          <cell r="B31" t="str">
            <v>TAN</v>
          </cell>
          <cell r="C31" t="str">
            <v>BETHOVEN</v>
          </cell>
          <cell r="D31" t="str">
            <v>III</v>
          </cell>
          <cell r="E31" t="str">
            <v xml:space="preserve"> CEJUELA</v>
          </cell>
          <cell r="F31" t="str">
            <v>MALE</v>
          </cell>
          <cell r="G31" t="str">
            <v>02-06-2011</v>
          </cell>
          <cell r="H31">
            <v>89</v>
          </cell>
          <cell r="I31" t="str">
            <v>GOD'S LITTLE FLOCK LEARNING CENTER</v>
          </cell>
          <cell r="J31" t="str">
            <v>POOC ORIENTAL, TUBIGON, BOHOL</v>
          </cell>
          <cell r="K31">
            <v>446517</v>
          </cell>
          <cell r="L31" t="str">
            <v>DAISY</v>
          </cell>
          <cell r="M31" t="str">
            <v>2023-2024</v>
          </cell>
          <cell r="N31" t="str">
            <v>LOUDANIE-ANTONIETTE C. QUIDLAT</v>
          </cell>
          <cell r="O31">
            <v>19</v>
          </cell>
          <cell r="P31">
            <v>20</v>
          </cell>
          <cell r="Q31">
            <v>22</v>
          </cell>
          <cell r="R31">
            <v>17</v>
          </cell>
          <cell r="S31">
            <v>15</v>
          </cell>
          <cell r="T31">
            <v>18</v>
          </cell>
          <cell r="U31">
            <v>22</v>
          </cell>
          <cell r="V31">
            <v>21</v>
          </cell>
          <cell r="W31">
            <v>21</v>
          </cell>
          <cell r="X31">
            <v>23</v>
          </cell>
          <cell r="Y31" t="str">
            <v>-</v>
          </cell>
          <cell r="Z31">
            <v>198</v>
          </cell>
        </row>
        <row r="32">
          <cell r="A32" t="str">
            <v>120002160385</v>
          </cell>
          <cell r="B32" t="str">
            <v>TEMARIO</v>
          </cell>
          <cell r="C32" t="str">
            <v>KENT DARREL</v>
          </cell>
          <cell r="D32" t="str">
            <v>-</v>
          </cell>
          <cell r="E32" t="str">
            <v xml:space="preserve"> ESTORBA</v>
          </cell>
          <cell r="F32" t="str">
            <v>MALE</v>
          </cell>
          <cell r="G32" t="str">
            <v>04-20-2011</v>
          </cell>
          <cell r="H32">
            <v>84</v>
          </cell>
          <cell r="I32" t="str">
            <v>TUBIGON EAST CENTRAL ELEMENTARY SCH.</v>
          </cell>
          <cell r="J32" t="str">
            <v>MACAAS, TUBIGON, BOHOL</v>
          </cell>
          <cell r="K32">
            <v>118787</v>
          </cell>
          <cell r="L32" t="str">
            <v>DAISY</v>
          </cell>
          <cell r="M32" t="str">
            <v>2023-2024</v>
          </cell>
          <cell r="N32" t="str">
            <v>LOUDANIE-ANTONIETTE C. QUIDLAT</v>
          </cell>
          <cell r="O32">
            <v>20</v>
          </cell>
          <cell r="P32">
            <v>21</v>
          </cell>
          <cell r="Q32">
            <v>22</v>
          </cell>
          <cell r="R32">
            <v>16</v>
          </cell>
          <cell r="S32">
            <v>15</v>
          </cell>
          <cell r="T32">
            <v>19</v>
          </cell>
          <cell r="U32">
            <v>20</v>
          </cell>
          <cell r="V32">
            <v>22</v>
          </cell>
          <cell r="W32">
            <v>21</v>
          </cell>
          <cell r="X32">
            <v>23</v>
          </cell>
          <cell r="Y32" t="str">
            <v>-</v>
          </cell>
          <cell r="Z32">
            <v>199</v>
          </cell>
        </row>
        <row r="33">
          <cell r="A33" t="str">
            <v>118797160103</v>
          </cell>
          <cell r="B33" t="str">
            <v>ADTOON</v>
          </cell>
          <cell r="C33" t="str">
            <v>TEFANNY JOY</v>
          </cell>
          <cell r="D33" t="str">
            <v>-</v>
          </cell>
          <cell r="E33" t="str">
            <v xml:space="preserve"> -</v>
          </cell>
          <cell r="F33" t="str">
            <v>FEMALE</v>
          </cell>
          <cell r="G33" t="str">
            <v>12-06-2010</v>
          </cell>
          <cell r="H33">
            <v>87</v>
          </cell>
          <cell r="I33" t="str">
            <v>TUBIGON WEST CENTRAL ELEMENTARY SCH.</v>
          </cell>
          <cell r="J33" t="str">
            <v>POOC ORIENTAL, TUBIGON, BOHOL</v>
          </cell>
          <cell r="K33">
            <v>118797</v>
          </cell>
          <cell r="L33" t="str">
            <v>DAISY</v>
          </cell>
          <cell r="M33" t="str">
            <v>2023-2024</v>
          </cell>
          <cell r="N33" t="str">
            <v>LOUDANIE-ANTONIETTE C. QUIDLAT</v>
          </cell>
          <cell r="O33">
            <v>18</v>
          </cell>
          <cell r="P33">
            <v>19.5</v>
          </cell>
          <cell r="Q33">
            <v>21</v>
          </cell>
          <cell r="R33">
            <v>16</v>
          </cell>
          <cell r="S33">
            <v>14</v>
          </cell>
          <cell r="T33">
            <v>14</v>
          </cell>
          <cell r="U33">
            <v>17</v>
          </cell>
          <cell r="V33">
            <v>21</v>
          </cell>
          <cell r="W33">
            <v>20</v>
          </cell>
          <cell r="X33">
            <v>22</v>
          </cell>
          <cell r="Y33" t="str">
            <v>-</v>
          </cell>
          <cell r="Z33">
            <v>182.5</v>
          </cell>
        </row>
        <row r="34">
          <cell r="A34" t="str">
            <v>446542160009</v>
          </cell>
          <cell r="B34" t="str">
            <v>ARANAS</v>
          </cell>
          <cell r="C34" t="str">
            <v>PRINCESS YASSI</v>
          </cell>
          <cell r="D34" t="str">
            <v>-</v>
          </cell>
          <cell r="E34" t="str">
            <v xml:space="preserve"> BONGCALES</v>
          </cell>
          <cell r="F34" t="str">
            <v>FEMALE</v>
          </cell>
          <cell r="G34" t="str">
            <v>10-05-2011</v>
          </cell>
          <cell r="H34">
            <v>93</v>
          </cell>
          <cell r="I34" t="str">
            <v>TUBIGON EAST CENTRAL ELEMENTARY SCH.</v>
          </cell>
          <cell r="J34" t="str">
            <v>MACAAS, TUBIGON, BOHOL</v>
          </cell>
          <cell r="K34">
            <v>118787</v>
          </cell>
          <cell r="L34" t="str">
            <v>DAISY</v>
          </cell>
          <cell r="M34" t="str">
            <v>2023-2024</v>
          </cell>
          <cell r="N34" t="str">
            <v>LOUDANIE-ANTONIETTE C. QUIDLAT</v>
          </cell>
          <cell r="O34">
            <v>20</v>
          </cell>
          <cell r="P34">
            <v>14</v>
          </cell>
          <cell r="Q34">
            <v>22</v>
          </cell>
          <cell r="R34">
            <v>15</v>
          </cell>
          <cell r="S34">
            <v>14</v>
          </cell>
          <cell r="T34">
            <v>19</v>
          </cell>
          <cell r="U34">
            <v>19</v>
          </cell>
          <cell r="V34">
            <v>21.5</v>
          </cell>
          <cell r="W34">
            <v>21</v>
          </cell>
          <cell r="X34">
            <v>23</v>
          </cell>
          <cell r="Y34" t="str">
            <v>-</v>
          </cell>
          <cell r="Z34">
            <v>188.5</v>
          </cell>
        </row>
        <row r="35">
          <cell r="A35" t="str">
            <v>118713160112</v>
          </cell>
          <cell r="B35" t="str">
            <v>BANQUIL</v>
          </cell>
          <cell r="C35" t="str">
            <v>LHOREM JAY</v>
          </cell>
          <cell r="D35" t="str">
            <v>-</v>
          </cell>
          <cell r="E35" t="str">
            <v xml:space="preserve"> CUBELO</v>
          </cell>
          <cell r="F35" t="str">
            <v>FEMALE</v>
          </cell>
          <cell r="G35" t="str">
            <v>05-31-2011</v>
          </cell>
          <cell r="H35">
            <v>95</v>
          </cell>
          <cell r="I35" t="str">
            <v>TUBIGON WEST CENTRAL ELEMENTARY SCH.</v>
          </cell>
          <cell r="J35" t="str">
            <v>POOC ORIENTAL, TUBIGON, BOHOL</v>
          </cell>
          <cell r="K35">
            <v>118797</v>
          </cell>
          <cell r="L35" t="str">
            <v>DAISY</v>
          </cell>
          <cell r="M35" t="str">
            <v>2023-2024</v>
          </cell>
          <cell r="N35" t="str">
            <v>LOUDANIE-ANTONIETTE C. QUIDLAT</v>
          </cell>
          <cell r="O35">
            <v>20</v>
          </cell>
          <cell r="P35">
            <v>21</v>
          </cell>
          <cell r="Q35">
            <v>22</v>
          </cell>
          <cell r="R35">
            <v>17</v>
          </cell>
          <cell r="S35">
            <v>15</v>
          </cell>
          <cell r="T35">
            <v>19</v>
          </cell>
          <cell r="U35">
            <v>22</v>
          </cell>
          <cell r="V35">
            <v>22</v>
          </cell>
          <cell r="W35">
            <v>21</v>
          </cell>
          <cell r="X35">
            <v>22</v>
          </cell>
          <cell r="Y35" t="str">
            <v>-</v>
          </cell>
          <cell r="Z35">
            <v>201</v>
          </cell>
        </row>
        <row r="36">
          <cell r="A36" t="str">
            <v>118782160002</v>
          </cell>
          <cell r="B36" t="str">
            <v>BIARAS</v>
          </cell>
          <cell r="C36" t="str">
            <v>ANGELIEMAINE</v>
          </cell>
          <cell r="D36" t="str">
            <v>-</v>
          </cell>
          <cell r="E36" t="str">
            <v xml:space="preserve"> PITAO</v>
          </cell>
          <cell r="F36" t="str">
            <v>FEMALE</v>
          </cell>
          <cell r="G36" t="str">
            <v>02-15-2011</v>
          </cell>
          <cell r="H36">
            <v>95</v>
          </cell>
          <cell r="I36" t="str">
            <v>GENONOCAN ELEMENTARY SCHOOL</v>
          </cell>
          <cell r="J36" t="str">
            <v>GENONOCAN, TUBIGON, BOHOL</v>
          </cell>
          <cell r="K36">
            <v>118782</v>
          </cell>
          <cell r="L36" t="str">
            <v>DAISY</v>
          </cell>
          <cell r="M36" t="str">
            <v>2023-2024</v>
          </cell>
          <cell r="N36" t="str">
            <v>LOUDANIE-ANTONIETTE C. QUIDLAT</v>
          </cell>
          <cell r="O36">
            <v>20</v>
          </cell>
          <cell r="P36">
            <v>21</v>
          </cell>
          <cell r="Q36">
            <v>20</v>
          </cell>
          <cell r="R36">
            <v>17</v>
          </cell>
          <cell r="S36">
            <v>15</v>
          </cell>
          <cell r="T36">
            <v>19</v>
          </cell>
          <cell r="U36">
            <v>22</v>
          </cell>
          <cell r="V36">
            <v>22</v>
          </cell>
          <cell r="W36">
            <v>21</v>
          </cell>
          <cell r="X36">
            <v>23</v>
          </cell>
          <cell r="Y36" t="str">
            <v>-</v>
          </cell>
          <cell r="Z36">
            <v>200</v>
          </cell>
        </row>
        <row r="37">
          <cell r="A37" t="str">
            <v>118790160007</v>
          </cell>
          <cell r="B37" t="str">
            <v>BOLO</v>
          </cell>
          <cell r="C37" t="str">
            <v>ELAIZA GABRIELLE</v>
          </cell>
          <cell r="D37" t="str">
            <v>-</v>
          </cell>
          <cell r="E37" t="str">
            <v xml:space="preserve"> RESERVA</v>
          </cell>
          <cell r="F37" t="str">
            <v>FEMALE</v>
          </cell>
          <cell r="G37" t="str">
            <v>07-01-2011</v>
          </cell>
          <cell r="H37">
            <v>91</v>
          </cell>
          <cell r="I37" t="str">
            <v>PANDAN ELEMENTARY SCHOOL</v>
          </cell>
          <cell r="J37" t="str">
            <v>PANDAN, TUBIGON, BOHOL</v>
          </cell>
          <cell r="K37">
            <v>118790</v>
          </cell>
          <cell r="L37" t="str">
            <v>DAISY</v>
          </cell>
          <cell r="M37" t="str">
            <v>2023-2024</v>
          </cell>
          <cell r="N37" t="str">
            <v>LOUDANIE-ANTONIETTE C. QUIDLAT</v>
          </cell>
          <cell r="O37">
            <v>20</v>
          </cell>
          <cell r="P37">
            <v>21</v>
          </cell>
          <cell r="Q37">
            <v>22</v>
          </cell>
          <cell r="R37">
            <v>16</v>
          </cell>
          <cell r="S37">
            <v>15</v>
          </cell>
          <cell r="T37">
            <v>19</v>
          </cell>
          <cell r="U37">
            <v>22</v>
          </cell>
          <cell r="V37">
            <v>22</v>
          </cell>
          <cell r="W37">
            <v>21</v>
          </cell>
          <cell r="X37">
            <v>23</v>
          </cell>
          <cell r="Y37" t="str">
            <v>-</v>
          </cell>
          <cell r="Z37">
            <v>201</v>
          </cell>
        </row>
        <row r="38">
          <cell r="A38" t="str">
            <v>446511150041</v>
          </cell>
          <cell r="B38" t="str">
            <v>BUÑAO</v>
          </cell>
          <cell r="C38" t="str">
            <v>JOHANNA NICOLE</v>
          </cell>
          <cell r="D38" t="str">
            <v>-</v>
          </cell>
          <cell r="E38" t="str">
            <v xml:space="preserve"> NOTARTE</v>
          </cell>
          <cell r="F38" t="str">
            <v>FEMALE</v>
          </cell>
          <cell r="G38" t="str">
            <v>09-11-2010</v>
          </cell>
          <cell r="H38">
            <v>95</v>
          </cell>
          <cell r="I38" t="str">
            <v>TUBIGON EAST CENTRAL ELEMENTARY SCH.</v>
          </cell>
          <cell r="J38" t="str">
            <v>MACAAS, TUBIGON, BOHOL</v>
          </cell>
          <cell r="K38">
            <v>118787</v>
          </cell>
          <cell r="L38" t="str">
            <v>DAISY</v>
          </cell>
          <cell r="M38" t="str">
            <v>2023-2024</v>
          </cell>
          <cell r="N38" t="str">
            <v>LOUDANIE-ANTONIETTE C. QUIDLAT</v>
          </cell>
          <cell r="O38">
            <v>20</v>
          </cell>
          <cell r="P38">
            <v>21</v>
          </cell>
          <cell r="Q38">
            <v>22</v>
          </cell>
          <cell r="R38">
            <v>17</v>
          </cell>
          <cell r="S38">
            <v>15</v>
          </cell>
          <cell r="T38">
            <v>19</v>
          </cell>
          <cell r="U38">
            <v>22</v>
          </cell>
          <cell r="V38">
            <v>22</v>
          </cell>
          <cell r="W38">
            <v>21</v>
          </cell>
          <cell r="X38">
            <v>23</v>
          </cell>
          <cell r="Y38" t="str">
            <v>-</v>
          </cell>
          <cell r="Z38">
            <v>202</v>
          </cell>
        </row>
        <row r="39">
          <cell r="A39" t="str">
            <v>118790160008</v>
          </cell>
          <cell r="B39" t="str">
            <v>CAJIGAS</v>
          </cell>
          <cell r="C39" t="str">
            <v>MITZ FIONA</v>
          </cell>
          <cell r="D39" t="str">
            <v>-</v>
          </cell>
          <cell r="E39" t="str">
            <v xml:space="preserve"> VILLABER</v>
          </cell>
          <cell r="F39" t="str">
            <v>FEMALE</v>
          </cell>
          <cell r="G39" t="str">
            <v>02-09-2011</v>
          </cell>
          <cell r="H39">
            <v>92</v>
          </cell>
          <cell r="I39" t="str">
            <v>PANDAN ELEMENTARY SCHOOL</v>
          </cell>
          <cell r="J39" t="str">
            <v>PANDAN, TUBIGON, BOHOL</v>
          </cell>
          <cell r="K39">
            <v>118790</v>
          </cell>
          <cell r="L39" t="str">
            <v>DAISY</v>
          </cell>
          <cell r="M39" t="str">
            <v>2023-2024</v>
          </cell>
          <cell r="N39" t="str">
            <v>LOUDANIE-ANTONIETTE C. QUIDLAT</v>
          </cell>
          <cell r="O39">
            <v>20</v>
          </cell>
          <cell r="P39">
            <v>21</v>
          </cell>
          <cell r="Q39">
            <v>22</v>
          </cell>
          <cell r="R39">
            <v>17</v>
          </cell>
          <cell r="S39">
            <v>15</v>
          </cell>
          <cell r="T39">
            <v>19</v>
          </cell>
          <cell r="U39">
            <v>22</v>
          </cell>
          <cell r="V39">
            <v>22</v>
          </cell>
          <cell r="W39">
            <v>21</v>
          </cell>
          <cell r="X39">
            <v>23</v>
          </cell>
          <cell r="Y39" t="str">
            <v>-</v>
          </cell>
          <cell r="Z39">
            <v>202</v>
          </cell>
        </row>
        <row r="40">
          <cell r="A40" t="str">
            <v>446518150014</v>
          </cell>
          <cell r="B40" t="str">
            <v>CATUBAG</v>
          </cell>
          <cell r="C40" t="str">
            <v>JAMILLA</v>
          </cell>
          <cell r="D40" t="str">
            <v>-</v>
          </cell>
          <cell r="E40" t="str">
            <v xml:space="preserve"> -</v>
          </cell>
          <cell r="F40" t="str">
            <v>FEMALE</v>
          </cell>
          <cell r="G40" t="str">
            <v>05-05-2011</v>
          </cell>
          <cell r="H40">
            <v>91</v>
          </cell>
          <cell r="I40" t="str">
            <v>TUBIGON EAST CENTRAL ELEMENTARY SCH.</v>
          </cell>
          <cell r="J40" t="str">
            <v>MACAAS, TUBIGON, BOHOL</v>
          </cell>
          <cell r="K40">
            <v>118787</v>
          </cell>
          <cell r="L40" t="str">
            <v>DAISY</v>
          </cell>
          <cell r="M40" t="str">
            <v>2023-2024</v>
          </cell>
          <cell r="N40" t="str">
            <v>LOUDANIE-ANTONIETTE C. QUIDLAT</v>
          </cell>
          <cell r="O40">
            <v>20</v>
          </cell>
          <cell r="P40">
            <v>21</v>
          </cell>
          <cell r="Q40">
            <v>21</v>
          </cell>
          <cell r="R40">
            <v>16</v>
          </cell>
          <cell r="S40">
            <v>15</v>
          </cell>
          <cell r="T40">
            <v>19</v>
          </cell>
          <cell r="U40">
            <v>18</v>
          </cell>
          <cell r="V40">
            <v>21.5</v>
          </cell>
          <cell r="W40">
            <v>21</v>
          </cell>
          <cell r="X40">
            <v>23</v>
          </cell>
          <cell r="Y40" t="str">
            <v>-</v>
          </cell>
          <cell r="Z40">
            <v>195.5</v>
          </cell>
        </row>
        <row r="41">
          <cell r="A41" t="str">
            <v>446518150015</v>
          </cell>
          <cell r="B41" t="str">
            <v>CENITA</v>
          </cell>
          <cell r="C41" t="str">
            <v>JILLIAN RHEIN</v>
          </cell>
          <cell r="D41" t="str">
            <v>-</v>
          </cell>
          <cell r="E41" t="str">
            <v xml:space="preserve"> DELFINO</v>
          </cell>
          <cell r="F41" t="str">
            <v>FEMALE</v>
          </cell>
          <cell r="G41" t="str">
            <v>11-08-2010</v>
          </cell>
          <cell r="H41">
            <v>93</v>
          </cell>
          <cell r="I41" t="str">
            <v>BRIGHT MINDS LEARNING CENTER OF TUBIGON BOHOL, INC.</v>
          </cell>
          <cell r="J41" t="str">
            <v>POOC OCCIDENTAL TUBIGON, BOHOL</v>
          </cell>
          <cell r="K41">
            <v>446518</v>
          </cell>
          <cell r="L41" t="str">
            <v>DAISY</v>
          </cell>
          <cell r="M41" t="str">
            <v>2023-2024</v>
          </cell>
          <cell r="N41" t="str">
            <v>LOUDANIE-ANTONIETTE C. QUIDLAT</v>
          </cell>
          <cell r="O41">
            <v>20</v>
          </cell>
          <cell r="P41">
            <v>20.5</v>
          </cell>
          <cell r="Q41">
            <v>21</v>
          </cell>
          <cell r="R41">
            <v>14</v>
          </cell>
          <cell r="S41">
            <v>15</v>
          </cell>
          <cell r="T41">
            <v>17</v>
          </cell>
          <cell r="U41">
            <v>22</v>
          </cell>
          <cell r="V41">
            <v>22</v>
          </cell>
          <cell r="W41">
            <v>20</v>
          </cell>
          <cell r="X41">
            <v>23</v>
          </cell>
          <cell r="Y41" t="str">
            <v>-</v>
          </cell>
          <cell r="Z41">
            <v>194.5</v>
          </cell>
        </row>
        <row r="42">
          <cell r="A42" t="str">
            <v>446503160007</v>
          </cell>
          <cell r="B42" t="str">
            <v>CORBITA</v>
          </cell>
          <cell r="C42" t="str">
            <v>ANGELINA JULIE</v>
          </cell>
          <cell r="D42" t="str">
            <v>-</v>
          </cell>
          <cell r="E42" t="str">
            <v xml:space="preserve"> LIMOCON</v>
          </cell>
          <cell r="F42" t="str">
            <v>FEMALE</v>
          </cell>
          <cell r="G42" t="str">
            <v>06-25-2011</v>
          </cell>
          <cell r="H42">
            <v>92</v>
          </cell>
          <cell r="I42" t="str">
            <v>BUENOS AIRES ELEMENTARY SCHOOL</v>
          </cell>
          <cell r="J42" t="str">
            <v>BUENOS AIRES, TUBIGON, BOHOL</v>
          </cell>
          <cell r="K42">
            <v>118776</v>
          </cell>
          <cell r="L42" t="str">
            <v>DAISY</v>
          </cell>
          <cell r="M42" t="str">
            <v>2023-2024</v>
          </cell>
          <cell r="N42" t="str">
            <v>LOUDANIE-ANTONIETTE C. QUIDLAT</v>
          </cell>
          <cell r="O42">
            <v>20</v>
          </cell>
          <cell r="P42">
            <v>21</v>
          </cell>
          <cell r="Q42">
            <v>22</v>
          </cell>
          <cell r="R42">
            <v>17</v>
          </cell>
          <cell r="S42">
            <v>15</v>
          </cell>
          <cell r="T42">
            <v>19</v>
          </cell>
          <cell r="U42">
            <v>21.5</v>
          </cell>
          <cell r="V42">
            <v>22</v>
          </cell>
          <cell r="W42">
            <v>21</v>
          </cell>
          <cell r="X42">
            <v>23</v>
          </cell>
          <cell r="Y42" t="str">
            <v>-</v>
          </cell>
          <cell r="Z42">
            <v>201.5</v>
          </cell>
        </row>
        <row r="43">
          <cell r="A43" t="str">
            <v>446518150004</v>
          </cell>
          <cell r="B43" t="str">
            <v>DAÑO</v>
          </cell>
          <cell r="C43" t="str">
            <v>MARY ALTHEA JOY</v>
          </cell>
          <cell r="D43" t="str">
            <v>-</v>
          </cell>
          <cell r="E43" t="str">
            <v xml:space="preserve"> SEÑAL</v>
          </cell>
          <cell r="F43" t="str">
            <v>FEMALE</v>
          </cell>
          <cell r="G43" t="str">
            <v>09-08-2011</v>
          </cell>
          <cell r="H43">
            <v>98</v>
          </cell>
          <cell r="I43" t="str">
            <v>BRIGHT MINDS LEARNING CENTER OF TUBIGON BOHOL, INC.</v>
          </cell>
          <cell r="J43" t="str">
            <v>POOC OCCIDENTAL TUBIGON, BOHOL</v>
          </cell>
          <cell r="K43">
            <v>446518</v>
          </cell>
          <cell r="L43" t="str">
            <v>DAISY</v>
          </cell>
          <cell r="M43" t="str">
            <v>2023-2024</v>
          </cell>
          <cell r="N43" t="str">
            <v>LOUDANIE-ANTONIETTE C. QUIDLAT</v>
          </cell>
          <cell r="O43">
            <v>20</v>
          </cell>
          <cell r="P43">
            <v>21</v>
          </cell>
          <cell r="Q43">
            <v>22</v>
          </cell>
          <cell r="R43">
            <v>17</v>
          </cell>
          <cell r="S43">
            <v>15</v>
          </cell>
          <cell r="T43">
            <v>19</v>
          </cell>
          <cell r="U43">
            <v>22</v>
          </cell>
          <cell r="V43">
            <v>22</v>
          </cell>
          <cell r="W43">
            <v>21</v>
          </cell>
          <cell r="X43">
            <v>23</v>
          </cell>
          <cell r="Y43" t="str">
            <v>-</v>
          </cell>
          <cell r="Z43">
            <v>202</v>
          </cell>
        </row>
        <row r="44">
          <cell r="A44" t="str">
            <v>118783160014</v>
          </cell>
          <cell r="B44" t="str">
            <v>GENARO</v>
          </cell>
          <cell r="C44" t="str">
            <v>FHIONA</v>
          </cell>
          <cell r="D44" t="str">
            <v>-</v>
          </cell>
          <cell r="E44" t="str">
            <v xml:space="preserve"> DINUYO</v>
          </cell>
          <cell r="F44" t="str">
            <v>FEMALE</v>
          </cell>
          <cell r="G44" t="str">
            <v>06-20-2011</v>
          </cell>
          <cell r="H44">
            <v>89</v>
          </cell>
          <cell r="I44" t="str">
            <v>GUIWANON ELEMENTARY SCHOOL</v>
          </cell>
          <cell r="J44" t="str">
            <v>GUIWANON, TUBIGON, BOHOL</v>
          </cell>
          <cell r="K44">
            <v>118783</v>
          </cell>
          <cell r="L44" t="str">
            <v>DAISY</v>
          </cell>
          <cell r="M44" t="str">
            <v>2023-2024</v>
          </cell>
          <cell r="N44" t="str">
            <v>LOUDANIE-ANTONIETTE C. QUIDLAT</v>
          </cell>
          <cell r="O44">
            <v>19</v>
          </cell>
          <cell r="P44">
            <v>21</v>
          </cell>
          <cell r="Q44">
            <v>22</v>
          </cell>
          <cell r="R44">
            <v>17</v>
          </cell>
          <cell r="S44">
            <v>15</v>
          </cell>
          <cell r="T44">
            <v>18</v>
          </cell>
          <cell r="U44">
            <v>21</v>
          </cell>
          <cell r="V44">
            <v>22</v>
          </cell>
          <cell r="W44">
            <v>21</v>
          </cell>
          <cell r="X44">
            <v>23</v>
          </cell>
          <cell r="Y44" t="str">
            <v>-</v>
          </cell>
          <cell r="Z44">
            <v>199</v>
          </cell>
        </row>
        <row r="45">
          <cell r="A45" t="str">
            <v>118795160004</v>
          </cell>
          <cell r="B45" t="str">
            <v>JUMALIN</v>
          </cell>
          <cell r="C45" t="str">
            <v>RENELIE</v>
          </cell>
          <cell r="D45" t="str">
            <v>-</v>
          </cell>
          <cell r="E45" t="str">
            <v xml:space="preserve"> PAGAS</v>
          </cell>
          <cell r="F45" t="str">
            <v>FEMALE</v>
          </cell>
          <cell r="G45" t="str">
            <v>05-09-2011</v>
          </cell>
          <cell r="H45">
            <v>95</v>
          </cell>
          <cell r="I45" t="str">
            <v>TAN-AWAN ELEMENTARY SCHOOL</v>
          </cell>
          <cell r="J45" t="str">
            <v>TAN-AWAN, TUBIGON, BOHOL</v>
          </cell>
          <cell r="K45">
            <v>118795</v>
          </cell>
          <cell r="L45" t="str">
            <v>DAISY</v>
          </cell>
          <cell r="M45" t="str">
            <v>2023-2024</v>
          </cell>
          <cell r="N45" t="str">
            <v>LOUDANIE-ANTONIETTE C. QUIDLAT</v>
          </cell>
          <cell r="O45">
            <v>20</v>
          </cell>
          <cell r="P45">
            <v>21</v>
          </cell>
          <cell r="Q45">
            <v>22</v>
          </cell>
          <cell r="R45">
            <v>17</v>
          </cell>
          <cell r="S45">
            <v>15</v>
          </cell>
          <cell r="T45">
            <v>18</v>
          </cell>
          <cell r="U45">
            <v>22</v>
          </cell>
          <cell r="V45">
            <v>22</v>
          </cell>
          <cell r="W45">
            <v>21</v>
          </cell>
          <cell r="X45">
            <v>23</v>
          </cell>
          <cell r="Y45" t="str">
            <v>-</v>
          </cell>
          <cell r="Z45">
            <v>201</v>
          </cell>
        </row>
        <row r="46">
          <cell r="A46" t="str">
            <v>446518150016</v>
          </cell>
          <cell r="B46" t="str">
            <v>MALIGMAT</v>
          </cell>
          <cell r="C46" t="str">
            <v>DENISE SOPHIA</v>
          </cell>
          <cell r="D46" t="str">
            <v>-</v>
          </cell>
          <cell r="E46" t="str">
            <v xml:space="preserve"> RANARA</v>
          </cell>
          <cell r="F46" t="str">
            <v>FEMALE</v>
          </cell>
          <cell r="G46" t="str">
            <v>12-31-2010</v>
          </cell>
          <cell r="H46">
            <v>92</v>
          </cell>
          <cell r="I46" t="str">
            <v>BRIGHT MINDS LEARNING CENTER OF TUBIGON BOHOL, INC.</v>
          </cell>
          <cell r="J46" t="str">
            <v>POOC OCCIDENTAL TUBIGON, BOHOL</v>
          </cell>
          <cell r="K46">
            <v>446518</v>
          </cell>
          <cell r="L46" t="str">
            <v>DAISY</v>
          </cell>
          <cell r="M46" t="str">
            <v>2023-2024</v>
          </cell>
          <cell r="N46" t="str">
            <v>LOUDANIE-ANTONIETTE C. QUIDLAT</v>
          </cell>
          <cell r="O46">
            <v>20</v>
          </cell>
          <cell r="P46">
            <v>21</v>
          </cell>
          <cell r="Q46">
            <v>22</v>
          </cell>
          <cell r="R46">
            <v>17</v>
          </cell>
          <cell r="S46">
            <v>15</v>
          </cell>
          <cell r="T46">
            <v>19</v>
          </cell>
          <cell r="U46">
            <v>22</v>
          </cell>
          <cell r="V46">
            <v>22</v>
          </cell>
          <cell r="W46">
            <v>20</v>
          </cell>
          <cell r="X46">
            <v>23</v>
          </cell>
          <cell r="Y46" t="str">
            <v>-</v>
          </cell>
          <cell r="Z46">
            <v>201</v>
          </cell>
        </row>
        <row r="47">
          <cell r="A47" t="str">
            <v>118787160016</v>
          </cell>
          <cell r="B47" t="str">
            <v>MEJORADA</v>
          </cell>
          <cell r="C47" t="str">
            <v>ANGEL ZAIRAIN</v>
          </cell>
          <cell r="D47" t="str">
            <v>-</v>
          </cell>
          <cell r="E47" t="str">
            <v xml:space="preserve"> RECAMADAS</v>
          </cell>
          <cell r="F47" t="str">
            <v>FEMALE</v>
          </cell>
          <cell r="G47" t="str">
            <v>12-18-2010</v>
          </cell>
          <cell r="H47">
            <v>92</v>
          </cell>
          <cell r="I47" t="str">
            <v>TUBIGON EAST CENTRAL ELEMENTARY SCH.</v>
          </cell>
          <cell r="J47" t="str">
            <v>MACAAS, TUBIGON, BOHOL</v>
          </cell>
          <cell r="K47">
            <v>118787</v>
          </cell>
          <cell r="L47" t="str">
            <v>DAISY</v>
          </cell>
          <cell r="M47" t="str">
            <v>2023-2024</v>
          </cell>
          <cell r="N47" t="str">
            <v>LOUDANIE-ANTONIETTE C. QUIDLAT</v>
          </cell>
          <cell r="O47">
            <v>20</v>
          </cell>
          <cell r="P47">
            <v>21</v>
          </cell>
          <cell r="Q47">
            <v>22</v>
          </cell>
          <cell r="R47">
            <v>17</v>
          </cell>
          <cell r="S47">
            <v>15</v>
          </cell>
          <cell r="T47">
            <v>19</v>
          </cell>
          <cell r="U47">
            <v>22</v>
          </cell>
          <cell r="V47">
            <v>22</v>
          </cell>
          <cell r="W47">
            <v>21</v>
          </cell>
          <cell r="X47">
            <v>23</v>
          </cell>
          <cell r="Y47" t="str">
            <v>-</v>
          </cell>
          <cell r="Z47">
            <v>202</v>
          </cell>
        </row>
        <row r="48">
          <cell r="A48" t="str">
            <v>118797160093</v>
          </cell>
          <cell r="B48" t="str">
            <v>OMAÑA</v>
          </cell>
          <cell r="C48" t="str">
            <v>ANGEL AVEGAIL</v>
          </cell>
          <cell r="D48" t="str">
            <v>-</v>
          </cell>
          <cell r="E48" t="str">
            <v xml:space="preserve"> MORENO</v>
          </cell>
          <cell r="F48" t="str">
            <v>FEMALE</v>
          </cell>
          <cell r="G48" t="str">
            <v>05-03-2011</v>
          </cell>
          <cell r="H48">
            <v>88</v>
          </cell>
          <cell r="I48" t="str">
            <v>TUBIGON EAST CENTRAL ELEMENTARY SCH.</v>
          </cell>
          <cell r="J48" t="str">
            <v>MACAAS, TUBIGON, BOHOL</v>
          </cell>
          <cell r="K48">
            <v>118787</v>
          </cell>
          <cell r="L48" t="str">
            <v>DAISY</v>
          </cell>
          <cell r="M48" t="str">
            <v>2023-2024</v>
          </cell>
          <cell r="N48" t="str">
            <v>LOUDANIE-ANTONIETTE C. QUIDLAT</v>
          </cell>
          <cell r="O48">
            <v>20</v>
          </cell>
          <cell r="P48">
            <v>21</v>
          </cell>
          <cell r="Q48">
            <v>22</v>
          </cell>
          <cell r="R48">
            <v>17</v>
          </cell>
          <cell r="S48">
            <v>15</v>
          </cell>
          <cell r="T48">
            <v>18</v>
          </cell>
          <cell r="U48">
            <v>22</v>
          </cell>
          <cell r="V48">
            <v>22</v>
          </cell>
          <cell r="W48">
            <v>21</v>
          </cell>
          <cell r="X48">
            <v>23</v>
          </cell>
          <cell r="Y48" t="str">
            <v>-</v>
          </cell>
          <cell r="Z48">
            <v>201</v>
          </cell>
        </row>
        <row r="49">
          <cell r="A49" t="str">
            <v>118787170054</v>
          </cell>
          <cell r="B49" t="str">
            <v>OMPAD</v>
          </cell>
          <cell r="C49" t="str">
            <v>EARTH ZION</v>
          </cell>
          <cell r="D49" t="str">
            <v>-</v>
          </cell>
          <cell r="E49" t="str">
            <v xml:space="preserve"> -</v>
          </cell>
          <cell r="F49" t="str">
            <v>FEMALE</v>
          </cell>
          <cell r="G49" t="str">
            <v>07-25-2011</v>
          </cell>
          <cell r="H49">
            <v>96</v>
          </cell>
          <cell r="I49" t="str">
            <v>TUBIGON EAST CENTRAL ELEMENTARY SCH.</v>
          </cell>
          <cell r="J49" t="str">
            <v>MACAAS, TUBIGON, BOHOL</v>
          </cell>
          <cell r="K49">
            <v>118787</v>
          </cell>
          <cell r="L49" t="str">
            <v>DAISY</v>
          </cell>
          <cell r="M49" t="str">
            <v>2023-2024</v>
          </cell>
          <cell r="N49" t="str">
            <v>LOUDANIE-ANTONIETTE C. QUIDLAT</v>
          </cell>
          <cell r="O49">
            <v>20</v>
          </cell>
          <cell r="P49">
            <v>20</v>
          </cell>
          <cell r="Q49">
            <v>21</v>
          </cell>
          <cell r="R49">
            <v>15</v>
          </cell>
          <cell r="S49">
            <v>15</v>
          </cell>
          <cell r="T49">
            <v>19</v>
          </cell>
          <cell r="U49">
            <v>21.5</v>
          </cell>
          <cell r="V49">
            <v>21.5</v>
          </cell>
          <cell r="W49">
            <v>21</v>
          </cell>
          <cell r="X49">
            <v>23</v>
          </cell>
          <cell r="Y49" t="str">
            <v>-</v>
          </cell>
          <cell r="Z49">
            <v>197</v>
          </cell>
        </row>
        <row r="50">
          <cell r="A50" t="str">
            <v>404287150528</v>
          </cell>
          <cell r="B50" t="str">
            <v>PLATEROS</v>
          </cell>
          <cell r="C50" t="str">
            <v>SANDEL ANGELEH</v>
          </cell>
          <cell r="D50" t="str">
            <v>-</v>
          </cell>
          <cell r="E50" t="str">
            <v xml:space="preserve"> SALOMON</v>
          </cell>
          <cell r="F50" t="str">
            <v>FEMALE</v>
          </cell>
          <cell r="G50" t="str">
            <v>11-13-2010</v>
          </cell>
          <cell r="H50">
            <v>98</v>
          </cell>
          <cell r="I50" t="str">
            <v>TUBIGON EAST CENTRAL ELEMENTARY SCH.</v>
          </cell>
          <cell r="J50" t="str">
            <v>MACAAS, TUBIGON, BOHOL</v>
          </cell>
          <cell r="K50">
            <v>118787</v>
          </cell>
          <cell r="L50" t="str">
            <v>DAISY</v>
          </cell>
          <cell r="M50" t="str">
            <v>2023-2024</v>
          </cell>
          <cell r="N50" t="str">
            <v>LOUDANIE-ANTONIETTE C. QUIDLAT</v>
          </cell>
          <cell r="O50">
            <v>20</v>
          </cell>
          <cell r="P50">
            <v>21</v>
          </cell>
          <cell r="Q50">
            <v>22</v>
          </cell>
          <cell r="R50">
            <v>17</v>
          </cell>
          <cell r="S50">
            <v>15</v>
          </cell>
          <cell r="T50">
            <v>19</v>
          </cell>
          <cell r="U50">
            <v>21.5</v>
          </cell>
          <cell r="V50">
            <v>21.5</v>
          </cell>
          <cell r="W50">
            <v>19</v>
          </cell>
          <cell r="X50">
            <v>23</v>
          </cell>
          <cell r="Y50" t="str">
            <v>-</v>
          </cell>
          <cell r="Z50">
            <v>199</v>
          </cell>
        </row>
        <row r="51">
          <cell r="A51" t="str">
            <v>118797160129</v>
          </cell>
          <cell r="B51" t="str">
            <v>RESTAURO</v>
          </cell>
          <cell r="C51" t="str">
            <v>AYIESHA KATE</v>
          </cell>
          <cell r="D51" t="str">
            <v>-</v>
          </cell>
          <cell r="E51" t="str">
            <v xml:space="preserve"> TIMAN</v>
          </cell>
          <cell r="F51" t="str">
            <v>FEMALE</v>
          </cell>
          <cell r="G51" t="str">
            <v>04-09-2011</v>
          </cell>
          <cell r="H51">
            <v>93</v>
          </cell>
          <cell r="I51" t="str">
            <v>TUBIGON WEST CENTRAL ELEMENTARY SCH.</v>
          </cell>
          <cell r="J51" t="str">
            <v>POOC ORIENTAL, TUBIGON, BOHOL</v>
          </cell>
          <cell r="K51">
            <v>118797</v>
          </cell>
          <cell r="L51" t="str">
            <v>DAISY</v>
          </cell>
          <cell r="M51" t="str">
            <v>2023-2024</v>
          </cell>
          <cell r="N51" t="str">
            <v>LOUDANIE-ANTONIETTE C. QUIDLAT</v>
          </cell>
          <cell r="O51">
            <v>20</v>
          </cell>
          <cell r="P51">
            <v>21</v>
          </cell>
          <cell r="Q51">
            <v>22</v>
          </cell>
          <cell r="R51">
            <v>17</v>
          </cell>
          <cell r="S51">
            <v>15</v>
          </cell>
          <cell r="T51">
            <v>19</v>
          </cell>
          <cell r="U51">
            <v>22</v>
          </cell>
          <cell r="V51">
            <v>20</v>
          </cell>
          <cell r="W51">
            <v>21</v>
          </cell>
          <cell r="X51">
            <v>23</v>
          </cell>
          <cell r="Y51" t="str">
            <v>-</v>
          </cell>
          <cell r="Z51">
            <v>200</v>
          </cell>
        </row>
        <row r="52">
          <cell r="A52" t="str">
            <v>404287150569</v>
          </cell>
          <cell r="B52" t="str">
            <v>ROSAL</v>
          </cell>
          <cell r="C52" t="str">
            <v>NIÑA BIANCA</v>
          </cell>
          <cell r="D52" t="str">
            <v>-</v>
          </cell>
          <cell r="E52" t="str">
            <v xml:space="preserve"> SANCHEZ</v>
          </cell>
          <cell r="F52" t="str">
            <v>FEMALE</v>
          </cell>
          <cell r="G52" t="str">
            <v>01-15-2011</v>
          </cell>
          <cell r="H52">
            <v>96</v>
          </cell>
          <cell r="I52" t="str">
            <v>TUBIGON WEST CENTRAL ELEMENTARY SCH.</v>
          </cell>
          <cell r="J52" t="str">
            <v>POOC ORIENTAL, TUBIGON, BOHOL</v>
          </cell>
          <cell r="K52">
            <v>118797</v>
          </cell>
          <cell r="L52" t="str">
            <v>DAISY</v>
          </cell>
          <cell r="M52" t="str">
            <v>2023-2024</v>
          </cell>
          <cell r="N52" t="str">
            <v>LOUDANIE-ANTONIETTE C. QUIDLAT</v>
          </cell>
          <cell r="O52">
            <v>20</v>
          </cell>
          <cell r="P52">
            <v>21</v>
          </cell>
          <cell r="Q52">
            <v>22</v>
          </cell>
          <cell r="R52">
            <v>17</v>
          </cell>
          <cell r="S52">
            <v>15</v>
          </cell>
          <cell r="T52">
            <v>19</v>
          </cell>
          <cell r="U52">
            <v>22</v>
          </cell>
          <cell r="V52">
            <v>22</v>
          </cell>
          <cell r="W52">
            <v>21</v>
          </cell>
          <cell r="X52">
            <v>23</v>
          </cell>
          <cell r="Y52" t="str">
            <v>-</v>
          </cell>
          <cell r="Z52">
            <v>202</v>
          </cell>
        </row>
        <row r="53">
          <cell r="A53" t="str">
            <v>446518160010</v>
          </cell>
          <cell r="B53" t="str">
            <v>RULIDA</v>
          </cell>
          <cell r="C53" t="str">
            <v>SEUN JANELLE</v>
          </cell>
          <cell r="D53" t="str">
            <v>-</v>
          </cell>
          <cell r="E53" t="str">
            <v xml:space="preserve"> BAGOLOR</v>
          </cell>
          <cell r="F53" t="str">
            <v>FEMALE</v>
          </cell>
          <cell r="G53" t="str">
            <v>06-07-2011</v>
          </cell>
          <cell r="H53">
            <v>92</v>
          </cell>
          <cell r="I53" t="str">
            <v>PANDAN ELEMENTARY SCHOOL</v>
          </cell>
          <cell r="J53" t="str">
            <v>PANDAN, TUBIGON, BOHOL</v>
          </cell>
          <cell r="K53">
            <v>118790</v>
          </cell>
          <cell r="L53" t="str">
            <v>DAISY</v>
          </cell>
          <cell r="M53" t="str">
            <v>2023-2024</v>
          </cell>
          <cell r="N53" t="str">
            <v>LOUDANIE-ANTONIETTE C. QUIDLAT</v>
          </cell>
          <cell r="O53">
            <v>20</v>
          </cell>
          <cell r="P53">
            <v>21</v>
          </cell>
          <cell r="Q53">
            <v>22</v>
          </cell>
          <cell r="R53">
            <v>16</v>
          </cell>
          <cell r="S53">
            <v>15</v>
          </cell>
          <cell r="T53">
            <v>19</v>
          </cell>
          <cell r="U53">
            <v>22</v>
          </cell>
          <cell r="V53">
            <v>21.5</v>
          </cell>
          <cell r="W53">
            <v>21</v>
          </cell>
          <cell r="X53">
            <v>23</v>
          </cell>
          <cell r="Y53" t="str">
            <v>-</v>
          </cell>
          <cell r="Z53">
            <v>200.5</v>
          </cell>
        </row>
        <row r="54">
          <cell r="A54" t="str">
            <v>446517160005</v>
          </cell>
          <cell r="B54" t="str">
            <v>SALMASAN</v>
          </cell>
          <cell r="C54" t="str">
            <v>KAILEY YSABEL</v>
          </cell>
          <cell r="D54" t="str">
            <v>-</v>
          </cell>
          <cell r="E54" t="str">
            <v xml:space="preserve"> CATALLA</v>
          </cell>
          <cell r="F54" t="str">
            <v>FEMALE</v>
          </cell>
          <cell r="G54" t="str">
            <v>05-03-2011</v>
          </cell>
          <cell r="H54">
            <v>92</v>
          </cell>
          <cell r="I54" t="str">
            <v>GOD'S LITTLE FLOCK LEARNING CENTER</v>
          </cell>
          <cell r="J54" t="str">
            <v>POOC ORIENTAL, TUBIGON, BOHOL</v>
          </cell>
          <cell r="K54">
            <v>446517</v>
          </cell>
          <cell r="L54" t="str">
            <v>DAISY</v>
          </cell>
          <cell r="M54" t="str">
            <v>2023-2024</v>
          </cell>
          <cell r="N54" t="str">
            <v>LOUDANIE-ANTONIETTE C. QUIDLAT</v>
          </cell>
          <cell r="O54">
            <v>20</v>
          </cell>
          <cell r="P54">
            <v>18.5</v>
          </cell>
          <cell r="Q54">
            <v>22</v>
          </cell>
          <cell r="R54">
            <v>17</v>
          </cell>
          <cell r="S54">
            <v>14</v>
          </cell>
          <cell r="T54">
            <v>19</v>
          </cell>
          <cell r="U54">
            <v>22</v>
          </cell>
          <cell r="V54">
            <v>22</v>
          </cell>
          <cell r="W54">
            <v>21</v>
          </cell>
          <cell r="X54">
            <v>23</v>
          </cell>
          <cell r="Y54" t="str">
            <v>-</v>
          </cell>
          <cell r="Z54">
            <v>198.5</v>
          </cell>
        </row>
        <row r="55">
          <cell r="A55" t="str">
            <v>118783160022</v>
          </cell>
          <cell r="B55" t="str">
            <v>SAUL</v>
          </cell>
          <cell r="C55" t="str">
            <v>ANGEL LORRAINE</v>
          </cell>
          <cell r="D55" t="str">
            <v>-</v>
          </cell>
          <cell r="E55" t="str">
            <v xml:space="preserve"> MULA</v>
          </cell>
          <cell r="F55" t="str">
            <v>FEMALE</v>
          </cell>
          <cell r="G55" t="str">
            <v>04-07-2011</v>
          </cell>
          <cell r="H55">
            <v>96</v>
          </cell>
          <cell r="I55" t="str">
            <v>GUIWANON ELEMENTARY SCHOOL</v>
          </cell>
          <cell r="J55" t="str">
            <v>GUIWANON, TUBIGON, BOHOL</v>
          </cell>
          <cell r="K55">
            <v>118783</v>
          </cell>
          <cell r="L55" t="str">
            <v>DAISY</v>
          </cell>
          <cell r="M55" t="str">
            <v>2023-2024</v>
          </cell>
          <cell r="N55" t="str">
            <v>LOUDANIE-ANTONIETTE C. QUIDLAT</v>
          </cell>
          <cell r="O55">
            <v>20</v>
          </cell>
          <cell r="P55">
            <v>21</v>
          </cell>
          <cell r="Q55">
            <v>21</v>
          </cell>
          <cell r="R55">
            <v>17</v>
          </cell>
          <cell r="S55">
            <v>15</v>
          </cell>
          <cell r="T55">
            <v>17</v>
          </cell>
          <cell r="U55">
            <v>22</v>
          </cell>
          <cell r="V55">
            <v>22</v>
          </cell>
          <cell r="W55">
            <v>21</v>
          </cell>
          <cell r="X55">
            <v>23</v>
          </cell>
          <cell r="Y55" t="str">
            <v>-</v>
          </cell>
          <cell r="Z55">
            <v>199</v>
          </cell>
        </row>
        <row r="56">
          <cell r="A56" t="str">
            <v>118799160020</v>
          </cell>
          <cell r="B56" t="str">
            <v>SUAYBAGUIO</v>
          </cell>
          <cell r="C56" t="str">
            <v>DIANNE XYRHYLL</v>
          </cell>
          <cell r="D56" t="str">
            <v>-</v>
          </cell>
          <cell r="E56" t="str">
            <v xml:space="preserve"> CABALES</v>
          </cell>
          <cell r="F56" t="str">
            <v>FEMALE</v>
          </cell>
          <cell r="G56" t="str">
            <v>08-28-2011</v>
          </cell>
          <cell r="H56">
            <v>93</v>
          </cell>
          <cell r="I56" t="str">
            <v>TAN-AWAN ELEMENTARY SCHOOL</v>
          </cell>
          <cell r="J56" t="str">
            <v>TAN-AWAN, TUBIGON, BOHOL</v>
          </cell>
          <cell r="K56">
            <v>118795</v>
          </cell>
          <cell r="L56" t="str">
            <v>DAISY</v>
          </cell>
          <cell r="M56" t="str">
            <v>2023-2024</v>
          </cell>
          <cell r="N56" t="str">
            <v>LOUDANIE-ANTONIETTE C. QUIDLAT</v>
          </cell>
          <cell r="O56">
            <v>20</v>
          </cell>
          <cell r="P56">
            <v>21</v>
          </cell>
          <cell r="Q56">
            <v>22</v>
          </cell>
          <cell r="R56">
            <v>16</v>
          </cell>
          <cell r="S56">
            <v>15</v>
          </cell>
          <cell r="T56">
            <v>19</v>
          </cell>
          <cell r="U56">
            <v>22</v>
          </cell>
          <cell r="V56">
            <v>22</v>
          </cell>
          <cell r="W56">
            <v>21</v>
          </cell>
          <cell r="X56">
            <v>23</v>
          </cell>
          <cell r="Y56" t="str">
            <v>-</v>
          </cell>
          <cell r="Z56">
            <v>201</v>
          </cell>
        </row>
        <row r="57">
          <cell r="A57" t="str">
            <v>446517160015</v>
          </cell>
          <cell r="B57" t="str">
            <v>TAN</v>
          </cell>
          <cell r="C57" t="str">
            <v>BRYANNE MARIE</v>
          </cell>
          <cell r="D57" t="str">
            <v>-</v>
          </cell>
          <cell r="E57" t="str">
            <v xml:space="preserve"> BAURA</v>
          </cell>
          <cell r="F57" t="str">
            <v>FEMALE</v>
          </cell>
          <cell r="G57" t="str">
            <v>03-11-2011</v>
          </cell>
          <cell r="H57">
            <v>93</v>
          </cell>
          <cell r="I57" t="str">
            <v>GOD'S LITTLE FLOCK LEARNING CENTER</v>
          </cell>
          <cell r="J57" t="str">
            <v>POOC ORIENTAL, TUBIGON, BOHOL</v>
          </cell>
          <cell r="K57">
            <v>446517</v>
          </cell>
          <cell r="L57" t="str">
            <v>DAISY</v>
          </cell>
          <cell r="M57" t="str">
            <v>2023-2024</v>
          </cell>
          <cell r="N57" t="str">
            <v>LOUDANIE-ANTONIETTE C. QUIDLAT</v>
          </cell>
          <cell r="O57">
            <v>20</v>
          </cell>
          <cell r="P57">
            <v>21</v>
          </cell>
          <cell r="Q57">
            <v>22</v>
          </cell>
          <cell r="R57">
            <v>17</v>
          </cell>
          <cell r="S57">
            <v>15</v>
          </cell>
          <cell r="T57">
            <v>18</v>
          </cell>
          <cell r="U57">
            <v>22</v>
          </cell>
          <cell r="V57">
            <v>22</v>
          </cell>
          <cell r="W57">
            <v>21</v>
          </cell>
          <cell r="X57">
            <v>23</v>
          </cell>
          <cell r="Y57" t="str">
            <v>-</v>
          </cell>
          <cell r="Z57">
            <v>201</v>
          </cell>
        </row>
        <row r="58">
          <cell r="A58" t="str">
            <v>118713160036</v>
          </cell>
          <cell r="B58" t="str">
            <v>TIMA-AN</v>
          </cell>
          <cell r="C58" t="str">
            <v>VAIKA GIANNEE</v>
          </cell>
          <cell r="D58" t="str">
            <v>-</v>
          </cell>
          <cell r="E58" t="str">
            <v xml:space="preserve"> SANTIAGO</v>
          </cell>
          <cell r="F58" t="str">
            <v>FEMALE</v>
          </cell>
          <cell r="G58" t="str">
            <v>04-18-2011</v>
          </cell>
          <cell r="H58">
            <v>89</v>
          </cell>
          <cell r="I58" t="str">
            <v>TUBIGON EAST CENTRAL ELEMENTARY SCH.</v>
          </cell>
          <cell r="J58" t="str">
            <v>MACAAS, TUBIGON, BOHOL</v>
          </cell>
          <cell r="K58">
            <v>118787</v>
          </cell>
          <cell r="L58" t="str">
            <v>DAISY</v>
          </cell>
          <cell r="M58" t="str">
            <v>2023-2024</v>
          </cell>
          <cell r="N58" t="str">
            <v>LOUDANIE-ANTONIETTE C. QUIDLAT</v>
          </cell>
          <cell r="O58">
            <v>20</v>
          </cell>
          <cell r="P58">
            <v>21</v>
          </cell>
          <cell r="Q58">
            <v>22</v>
          </cell>
          <cell r="R58">
            <v>17</v>
          </cell>
          <cell r="S58">
            <v>15</v>
          </cell>
          <cell r="T58">
            <v>19</v>
          </cell>
          <cell r="U58">
            <v>21</v>
          </cell>
          <cell r="V58">
            <v>22</v>
          </cell>
          <cell r="W58">
            <v>21</v>
          </cell>
          <cell r="X58">
            <v>23</v>
          </cell>
          <cell r="Y58" t="str">
            <v>-</v>
          </cell>
          <cell r="Z58">
            <v>201</v>
          </cell>
        </row>
        <row r="59">
          <cell r="A59" t="str">
            <v>404287150633</v>
          </cell>
          <cell r="B59" t="str">
            <v>VICENTINO</v>
          </cell>
          <cell r="C59" t="str">
            <v>YNNA JUVEL</v>
          </cell>
          <cell r="D59" t="str">
            <v>-</v>
          </cell>
          <cell r="E59" t="str">
            <v xml:space="preserve"> LAUREL</v>
          </cell>
          <cell r="F59" t="str">
            <v>FEMALE</v>
          </cell>
          <cell r="G59" t="str">
            <v>01-26-2011</v>
          </cell>
          <cell r="H59">
            <v>93</v>
          </cell>
          <cell r="I59" t="str">
            <v>BRIGHT MINDS LEARNING CENTER OF TUBIGON BOHOL, INC.</v>
          </cell>
          <cell r="J59" t="str">
            <v>POOC OCCIDENTAL TUBIGON, BOHOL</v>
          </cell>
          <cell r="K59">
            <v>446518</v>
          </cell>
          <cell r="L59" t="str">
            <v>DAISY</v>
          </cell>
          <cell r="M59" t="str">
            <v>2023-2024</v>
          </cell>
          <cell r="N59" t="str">
            <v>LOUDANIE-ANTONIETTE C. QUIDLAT</v>
          </cell>
          <cell r="O59">
            <v>20</v>
          </cell>
          <cell r="P59">
            <v>20</v>
          </cell>
          <cell r="Q59">
            <v>22</v>
          </cell>
          <cell r="R59">
            <v>16</v>
          </cell>
          <cell r="S59">
            <v>15</v>
          </cell>
          <cell r="T59">
            <v>18</v>
          </cell>
          <cell r="U59">
            <v>22</v>
          </cell>
          <cell r="V59">
            <v>21</v>
          </cell>
          <cell r="W59">
            <v>21</v>
          </cell>
          <cell r="X59">
            <v>23</v>
          </cell>
          <cell r="Y59" t="str">
            <v>-</v>
          </cell>
          <cell r="Z59">
            <v>198</v>
          </cell>
        </row>
        <row r="60">
          <cell r="A60" t="str">
            <v>118793160018</v>
          </cell>
          <cell r="B60" t="str">
            <v>VILLABER</v>
          </cell>
          <cell r="C60" t="str">
            <v>JHAN ROSE</v>
          </cell>
          <cell r="D60" t="str">
            <v>-</v>
          </cell>
          <cell r="E60" t="str">
            <v xml:space="preserve"> COSAP</v>
          </cell>
          <cell r="F60" t="str">
            <v>FEMALE</v>
          </cell>
          <cell r="G60" t="str">
            <v>01-08-2011</v>
          </cell>
          <cell r="H60">
            <v>94</v>
          </cell>
          <cell r="I60" t="str">
            <v>PANDAN ELEMENTARY SCHOOL</v>
          </cell>
          <cell r="J60" t="str">
            <v>PANDAN, TUBIGON, BOHOL</v>
          </cell>
          <cell r="K60">
            <v>118790</v>
          </cell>
          <cell r="L60" t="str">
            <v>DAISY</v>
          </cell>
          <cell r="M60" t="str">
            <v>2023-2024</v>
          </cell>
          <cell r="N60" t="str">
            <v>LOUDANIE-ANTONIETTE C. QUIDLAT</v>
          </cell>
          <cell r="O60">
            <v>20</v>
          </cell>
          <cell r="P60">
            <v>21</v>
          </cell>
          <cell r="Q60">
            <v>22</v>
          </cell>
          <cell r="R60">
            <v>17</v>
          </cell>
          <cell r="S60">
            <v>15</v>
          </cell>
          <cell r="T60">
            <v>19</v>
          </cell>
          <cell r="U60">
            <v>22</v>
          </cell>
          <cell r="V60">
            <v>21.5</v>
          </cell>
          <cell r="W60">
            <v>21</v>
          </cell>
          <cell r="X60">
            <v>23</v>
          </cell>
          <cell r="Y60" t="str">
            <v>-</v>
          </cell>
          <cell r="Z60">
            <v>201.5</v>
          </cell>
        </row>
      </sheetData>
      <sheetData sheetId="1">
        <row r="8">
          <cell r="A8" t="str">
            <v>LRN</v>
          </cell>
        </row>
      </sheetData>
      <sheetData sheetId="2">
        <row r="8">
          <cell r="A8" t="str">
            <v>LRN</v>
          </cell>
        </row>
      </sheetData>
      <sheetData sheetId="3">
        <row r="8">
          <cell r="A8" t="str">
            <v>LRN</v>
          </cell>
        </row>
      </sheetData>
      <sheetData sheetId="4">
        <row r="8">
          <cell r="A8" t="str">
            <v>LRN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1ST"/>
      <sheetName val="2ND"/>
      <sheetName val="3RD"/>
      <sheetName val="4TH"/>
      <sheetName val="AVERAGE"/>
      <sheetName val="STUB"/>
      <sheetName val="Front Page"/>
      <sheetName val="back"/>
      <sheetName val="INFO"/>
      <sheetName val="aparece"/>
      <sheetName val="baroro"/>
      <sheetName val="bordaje"/>
      <sheetName val="buli"/>
      <sheetName val="cabizares"/>
      <sheetName val="cosgafa"/>
      <sheetName val="daguplo"/>
      <sheetName val="damicog"/>
      <sheetName val="debil"/>
      <sheetName val="durango"/>
      <sheetName val="felisilda"/>
      <sheetName val="fernandez"/>
      <sheetName val="JUBAHIB"/>
      <sheetName val="LEOPARDAS"/>
      <sheetName val="MADAJE"/>
      <sheetName val="PAUL EJ"/>
      <sheetName val="PANCHO"/>
      <sheetName val="PANGANORON"/>
      <sheetName val="REPANA"/>
      <sheetName val="RIZALDO"/>
      <sheetName val="SATURINAS"/>
      <sheetName val="SUCRE"/>
      <sheetName val="TUMABANG"/>
      <sheetName val="blank."/>
      <sheetName val="blabk.."/>
      <sheetName val="blank..."/>
      <sheetName val="BLANK"/>
      <sheetName val="AMIGABLE"/>
      <sheetName val="BRIONES"/>
      <sheetName val="BULILAN"/>
      <sheetName val="BUSTALINIO"/>
      <sheetName val="CABIGON"/>
      <sheetName val="CAJOLES"/>
      <sheetName val="CAMPOS"/>
      <sheetName val="CANANEA"/>
      <sheetName val="CORAGE"/>
      <sheetName val="DE LAS ERAS"/>
      <sheetName val="DE LA VICTORIA"/>
      <sheetName val="EJOC"/>
      <sheetName val="ELLE"/>
      <sheetName val="FRONTERAS"/>
      <sheetName val="JIMENEZ"/>
      <sheetName val="LAMANILAO"/>
      <sheetName val="LUMAPAT"/>
      <sheetName val="MAGDOSA"/>
      <sheetName val="AIRA"/>
      <sheetName val="KIARA"/>
      <sheetName val="nadal"/>
      <sheetName val="omus"/>
      <sheetName val="pangan"/>
      <sheetName val="sanchez."/>
      <sheetName val="21"/>
      <sheetName val="22"/>
      <sheetName val="23"/>
      <sheetName val="24"/>
      <sheetName val="25"/>
      <sheetName val="26"/>
      <sheetName val="VOID"/>
      <sheetName val="Sheet3"/>
      <sheetName val="SF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5">
          <cell r="D25">
            <v>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F84"/>
  <sheetViews>
    <sheetView tabSelected="1" view="pageBreakPreview" topLeftCell="B53" zoomScale="150" zoomScaleNormal="120" zoomScaleSheetLayoutView="30" workbookViewId="0">
      <selection activeCell="I30" sqref="I30"/>
    </sheetView>
  </sheetViews>
  <sheetFormatPr baseColWidth="10" defaultColWidth="9.1640625" defaultRowHeight="15" x14ac:dyDescent="0.2"/>
  <cols>
    <col min="1" max="1" width="0.6640625" customWidth="1"/>
    <col min="2" max="2" width="11.33203125" customWidth="1"/>
    <col min="5" max="5" width="8.6640625" customWidth="1"/>
    <col min="6" max="6" width="11.1640625" customWidth="1"/>
    <col min="7" max="7" width="9.1640625" customWidth="1"/>
    <col min="8" max="8" width="10.1640625" customWidth="1"/>
    <col min="11" max="11" width="10.83203125" customWidth="1"/>
    <col min="12" max="12" width="9.5" customWidth="1"/>
    <col min="13" max="13" width="9" customWidth="1"/>
    <col min="14" max="14" width="9.33203125" customWidth="1"/>
    <col min="15" max="15" width="11.33203125" customWidth="1"/>
    <col min="16" max="16" width="6.5" customWidth="1"/>
  </cols>
  <sheetData>
    <row r="1" spans="2:16" ht="12.75" customHeight="1" x14ac:dyDescent="0.2">
      <c r="B1" s="1" t="s">
        <v>0</v>
      </c>
    </row>
    <row r="2" spans="2:16" x14ac:dyDescent="0.2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2:16" ht="16" x14ac:dyDescent="0.2">
      <c r="B3" s="170" t="s">
        <v>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4" spans="2:16" x14ac:dyDescent="0.2">
      <c r="B4" s="169" t="s">
        <v>3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</row>
    <row r="5" spans="2:16" ht="16" x14ac:dyDescent="0.2">
      <c r="B5" s="171" t="s">
        <v>4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</row>
    <row r="6" spans="2:16" ht="17.5" customHeight="1" x14ac:dyDescent="0.25">
      <c r="B6" s="172" t="s">
        <v>5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2:16" ht="12.75" customHeight="1" x14ac:dyDescent="0.2">
      <c r="B7" s="173" t="s">
        <v>6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</row>
    <row r="8" spans="2:16" ht="19" x14ac:dyDescent="0.25">
      <c r="B8" s="163" t="s">
        <v>7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2:16" x14ac:dyDescent="0.2">
      <c r="B9" s="2" t="s">
        <v>8</v>
      </c>
      <c r="C9" s="166"/>
      <c r="D9" s="166"/>
      <c r="F9" s="4" t="s">
        <v>9</v>
      </c>
      <c r="G9" s="5"/>
      <c r="H9" s="6"/>
      <c r="I9" s="2" t="s">
        <v>10</v>
      </c>
      <c r="K9" s="7" t="str">
        <f>_xlfn.IFNA(VLOOKUP(E10,[1]INFO!A2:K1000,4,FALSE)," ")</f>
        <v xml:space="preserve"> </v>
      </c>
      <c r="M9" s="4" t="s">
        <v>11</v>
      </c>
      <c r="N9" s="166"/>
      <c r="O9" s="166"/>
      <c r="P9" s="6"/>
    </row>
    <row r="10" spans="2:16" x14ac:dyDescent="0.2">
      <c r="B10" s="2" t="s">
        <v>12</v>
      </c>
      <c r="E10" s="167"/>
      <c r="F10" s="167"/>
      <c r="G10" s="2" t="s">
        <v>13</v>
      </c>
      <c r="I10" s="168"/>
      <c r="J10" s="168"/>
      <c r="K10" s="168"/>
      <c r="M10" s="4" t="s">
        <v>14</v>
      </c>
      <c r="N10" s="161"/>
      <c r="O10" s="161"/>
    </row>
    <row r="11" spans="2:16" ht="3" customHeight="1" x14ac:dyDescent="0.2"/>
    <row r="12" spans="2:16" ht="14.5" customHeight="1" x14ac:dyDescent="0.2">
      <c r="B12" s="159" t="s">
        <v>15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</row>
    <row r="13" spans="2:16" ht="3" customHeight="1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2:16" ht="15" customHeight="1" x14ac:dyDescent="0.2">
      <c r="B14" s="10" t="s">
        <v>16</v>
      </c>
      <c r="C14" s="11" t="s">
        <v>17</v>
      </c>
      <c r="D14" s="11"/>
      <c r="E14" s="11"/>
      <c r="F14" s="11"/>
      <c r="G14" s="11" t="s">
        <v>18</v>
      </c>
      <c r="H14" s="11"/>
      <c r="I14" s="8" t="str">
        <f>_xlfn.IFNA(VLOOKUP(E10,[1]INFO!A2:K1000,8,FALSE)," ")</f>
        <v xml:space="preserve"> </v>
      </c>
      <c r="J14" s="11"/>
      <c r="K14" s="12" t="s">
        <v>19</v>
      </c>
      <c r="L14" s="13"/>
      <c r="M14" s="13"/>
      <c r="N14" s="13"/>
      <c r="O14" s="13"/>
      <c r="P14" s="14"/>
    </row>
    <row r="15" spans="2:16" ht="24.5" customHeight="1" x14ac:dyDescent="0.2">
      <c r="B15" s="15"/>
      <c r="C15" s="6" t="s">
        <v>20</v>
      </c>
      <c r="D15" s="5"/>
      <c r="E15" s="5"/>
      <c r="F15" s="160" t="str">
        <f>_xlfn.IFNA(VLOOKUP(E10,[1]INFO!A2:K1000,9,FALSE)," ")</f>
        <v xml:space="preserve"> </v>
      </c>
      <c r="G15" s="160"/>
      <c r="H15" s="160"/>
      <c r="I15" s="6" t="s">
        <v>21</v>
      </c>
      <c r="J15" s="3" t="str">
        <f>_xlfn.IFNA(VLOOKUP(E10,[1]INFO!A2:K1000,11,FALSE)," ")</f>
        <v xml:space="preserve"> </v>
      </c>
      <c r="K15" s="6" t="s">
        <v>22</v>
      </c>
      <c r="L15" s="6"/>
      <c r="M15" s="161" t="str">
        <f>_xlfn.IFNA(VLOOKUP(E10,[1]INFO!A2:K1000,10,FALSE)," ")</f>
        <v xml:space="preserve"> </v>
      </c>
      <c r="N15" s="161"/>
      <c r="O15" s="161"/>
      <c r="P15" s="162"/>
    </row>
    <row r="16" spans="2:16" ht="12.5" customHeight="1" x14ac:dyDescent="0.2">
      <c r="B16" s="16" t="s">
        <v>23</v>
      </c>
    </row>
    <row r="17" spans="2:32" ht="17.25" customHeight="1" x14ac:dyDescent="0.2">
      <c r="C17" t="s">
        <v>24</v>
      </c>
      <c r="G17" t="s">
        <v>25</v>
      </c>
      <c r="L17" t="s">
        <v>26</v>
      </c>
    </row>
    <row r="18" spans="2:32" ht="15" customHeight="1" x14ac:dyDescent="0.2">
      <c r="B18" s="17" t="s">
        <v>27</v>
      </c>
    </row>
    <row r="19" spans="2:32" ht="2.25" customHeight="1" x14ac:dyDescent="0.2"/>
    <row r="20" spans="2:32" ht="15.75" customHeight="1" x14ac:dyDescent="0.25">
      <c r="B20" s="163" t="s">
        <v>28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</row>
    <row r="21" spans="2:32" ht="4.5" customHeight="1" thickBot="1" x14ac:dyDescent="0.3">
      <c r="B21" s="9"/>
      <c r="C21" s="9"/>
      <c r="D21" s="9"/>
      <c r="E21" s="9"/>
      <c r="F21" s="18"/>
      <c r="G21" s="18"/>
      <c r="H21" s="9"/>
      <c r="I21" s="9"/>
      <c r="J21" s="9"/>
      <c r="K21" s="9"/>
      <c r="L21" s="9"/>
      <c r="M21" s="9"/>
      <c r="N21" s="9"/>
      <c r="O21" s="9"/>
      <c r="P21" s="9"/>
    </row>
    <row r="22" spans="2:32" ht="18" customHeight="1" x14ac:dyDescent="0.2">
      <c r="B22" s="19" t="s">
        <v>29</v>
      </c>
      <c r="C22" s="20"/>
      <c r="D22" s="21"/>
      <c r="E22" s="21"/>
      <c r="F22" s="131" t="s">
        <v>30</v>
      </c>
      <c r="G22" s="131"/>
      <c r="H22" s="23"/>
      <c r="I22" s="24" t="s">
        <v>31</v>
      </c>
      <c r="J22" s="164"/>
      <c r="K22" s="164"/>
      <c r="L22" s="24" t="s">
        <v>32</v>
      </c>
      <c r="M22" s="165" t="s">
        <v>33</v>
      </c>
      <c r="N22" s="165"/>
      <c r="O22" s="24" t="s">
        <v>34</v>
      </c>
      <c r="P22" s="25" t="s">
        <v>35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2:32" s="34" customFormat="1" ht="21" customHeight="1" x14ac:dyDescent="0.2">
      <c r="B23" s="27" t="s">
        <v>36</v>
      </c>
      <c r="C23" s="28"/>
      <c r="D23" s="29">
        <f>'[2]Front Page'!$D$25</f>
        <v>7</v>
      </c>
      <c r="E23" s="30" t="s">
        <v>37</v>
      </c>
      <c r="F23" s="22" t="str">
        <f>_xlfn.IFNA(VLOOKUP(E10,[1]INFO!A2:AA1000,12,FALSE)," ")</f>
        <v xml:space="preserve"> </v>
      </c>
      <c r="G23" s="30" t="s">
        <v>38</v>
      </c>
      <c r="H23" s="31" t="str">
        <f>_xlfn.IFNA(VLOOKUP(E10,[1]INFO!A2:N100,13,FALSE)," ")</f>
        <v xml:space="preserve"> </v>
      </c>
      <c r="I23" s="30"/>
      <c r="J23" s="22" t="s">
        <v>39</v>
      </c>
      <c r="K23" s="30"/>
      <c r="L23" s="158" t="str">
        <f>_xlfn.IFNA(VLOOKUP(E10,[1]INFO!A2:AA100,14,FALSE)," ")</f>
        <v xml:space="preserve"> </v>
      </c>
      <c r="M23" s="158"/>
      <c r="N23" s="158"/>
      <c r="O23" s="32" t="s">
        <v>40</v>
      </c>
      <c r="P23" s="33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2:32" s="34" customFormat="1" ht="3" hidden="1" customHeight="1" x14ac:dyDescent="0.2"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</row>
    <row r="25" spans="2:32" ht="14.25" customHeight="1" x14ac:dyDescent="0.2">
      <c r="B25" s="134" t="s">
        <v>41</v>
      </c>
      <c r="C25" s="135"/>
      <c r="D25" s="135"/>
      <c r="E25" s="135"/>
      <c r="F25" s="136"/>
      <c r="G25" s="140" t="s">
        <v>42</v>
      </c>
      <c r="H25" s="121"/>
      <c r="I25" s="121"/>
      <c r="J25" s="121"/>
      <c r="K25" s="40" t="s">
        <v>43</v>
      </c>
      <c r="L25" s="111" t="s">
        <v>44</v>
      </c>
      <c r="M25" s="114"/>
      <c r="N25" s="114"/>
      <c r="O25" s="114"/>
      <c r="P25" s="115"/>
    </row>
    <row r="26" spans="2:32" ht="17.25" customHeight="1" x14ac:dyDescent="0.2">
      <c r="B26" s="137"/>
      <c r="C26" s="138"/>
      <c r="D26" s="138"/>
      <c r="E26" s="138"/>
      <c r="F26" s="139"/>
      <c r="G26" s="38">
        <v>1</v>
      </c>
      <c r="H26" s="39">
        <v>2</v>
      </c>
      <c r="I26" s="39">
        <v>3</v>
      </c>
      <c r="J26" s="39">
        <v>4</v>
      </c>
      <c r="K26" s="41" t="s">
        <v>45</v>
      </c>
      <c r="L26" s="111"/>
      <c r="M26" s="114"/>
      <c r="N26" s="114"/>
      <c r="O26" s="114"/>
      <c r="P26" s="115"/>
    </row>
    <row r="27" spans="2:32" ht="17.25" customHeight="1" x14ac:dyDescent="0.2">
      <c r="B27" s="42"/>
      <c r="C27" s="43"/>
      <c r="D27" s="43"/>
      <c r="E27" s="43"/>
      <c r="F27" s="44"/>
      <c r="G27" s="45"/>
      <c r="H27" s="45"/>
      <c r="I27" s="45"/>
      <c r="J27" s="45"/>
      <c r="K27" s="46"/>
      <c r="L27" s="150"/>
      <c r="M27" s="151"/>
      <c r="N27" s="151"/>
      <c r="O27" s="151"/>
      <c r="P27" s="152"/>
    </row>
    <row r="28" spans="2:32" ht="17.25" customHeight="1" x14ac:dyDescent="0.2">
      <c r="B28" s="42"/>
      <c r="C28" s="43"/>
      <c r="D28" s="43"/>
      <c r="E28" s="43"/>
      <c r="F28" s="44"/>
      <c r="G28" s="45"/>
      <c r="H28" s="45"/>
      <c r="I28" s="45"/>
      <c r="J28" s="45"/>
      <c r="K28" s="46"/>
      <c r="L28" s="150"/>
      <c r="M28" s="151"/>
      <c r="N28" s="151"/>
      <c r="O28" s="151"/>
      <c r="P28" s="152"/>
    </row>
    <row r="29" spans="2:32" ht="17.25" customHeight="1" x14ac:dyDescent="0.2">
      <c r="B29" s="42"/>
      <c r="C29" s="43"/>
      <c r="D29" s="43"/>
      <c r="E29" s="43"/>
      <c r="F29" s="44"/>
      <c r="G29" s="45"/>
      <c r="H29" s="45"/>
      <c r="I29" s="45"/>
      <c r="J29" s="45"/>
      <c r="K29" s="46"/>
      <c r="L29" s="150"/>
      <c r="M29" s="151"/>
      <c r="N29" s="151"/>
      <c r="O29" s="151"/>
      <c r="P29" s="152"/>
    </row>
    <row r="30" spans="2:32" ht="17.25" customHeight="1" x14ac:dyDescent="0.2">
      <c r="B30" s="42"/>
      <c r="C30" s="43"/>
      <c r="D30" s="43"/>
      <c r="E30" s="43"/>
      <c r="F30" s="44"/>
      <c r="G30" s="45"/>
      <c r="H30" s="45"/>
      <c r="I30" s="45"/>
      <c r="J30" s="45"/>
      <c r="K30" s="46"/>
      <c r="L30" s="150"/>
      <c r="M30" s="151"/>
      <c r="N30" s="151"/>
      <c r="O30" s="151"/>
      <c r="P30" s="152"/>
    </row>
    <row r="31" spans="2:32" ht="17.25" customHeight="1" x14ac:dyDescent="0.2">
      <c r="B31" s="42"/>
      <c r="C31" s="43"/>
      <c r="D31" s="43"/>
      <c r="E31" s="43"/>
      <c r="F31" s="44"/>
      <c r="G31" s="45"/>
      <c r="H31" s="45"/>
      <c r="I31" s="45"/>
      <c r="J31" s="45"/>
      <c r="K31" s="46"/>
      <c r="L31" s="150"/>
      <c r="M31" s="151"/>
      <c r="N31" s="151"/>
      <c r="O31" s="151"/>
      <c r="P31" s="152"/>
    </row>
    <row r="32" spans="2:32" ht="17.25" customHeight="1" x14ac:dyDescent="0.2">
      <c r="B32" s="42"/>
      <c r="C32" s="43"/>
      <c r="D32" s="43"/>
      <c r="E32" s="43"/>
      <c r="F32" s="44"/>
      <c r="G32" s="45"/>
      <c r="H32" s="45"/>
      <c r="I32" s="45"/>
      <c r="J32" s="45"/>
      <c r="K32" s="46"/>
      <c r="L32" s="150"/>
      <c r="M32" s="151"/>
      <c r="N32" s="151"/>
      <c r="O32" s="151"/>
      <c r="P32" s="152"/>
    </row>
    <row r="33" spans="2:19" ht="17.25" customHeight="1" x14ac:dyDescent="0.2">
      <c r="B33" s="42"/>
      <c r="C33" s="43"/>
      <c r="D33" s="43"/>
      <c r="E33" s="43"/>
      <c r="F33" s="44"/>
      <c r="G33" s="45"/>
      <c r="H33" s="45"/>
      <c r="I33" s="45"/>
      <c r="J33" s="45"/>
      <c r="K33" s="46"/>
      <c r="L33" s="150"/>
      <c r="M33" s="151"/>
      <c r="N33" s="151"/>
      <c r="O33" s="151"/>
      <c r="P33" s="152"/>
    </row>
    <row r="34" spans="2:19" ht="17.25" hidden="1" customHeight="1" x14ac:dyDescent="0.2">
      <c r="B34" s="48"/>
      <c r="C34" s="43"/>
      <c r="D34" s="43"/>
      <c r="E34" s="43"/>
      <c r="F34" s="44"/>
      <c r="G34" s="45"/>
      <c r="H34" s="45"/>
      <c r="I34" s="45"/>
      <c r="J34" s="45"/>
      <c r="K34" s="46"/>
      <c r="L34" s="150"/>
      <c r="M34" s="151"/>
      <c r="N34" s="151"/>
      <c r="O34" s="151"/>
      <c r="P34" s="152"/>
    </row>
    <row r="35" spans="2:19" ht="17.25" customHeight="1" x14ac:dyDescent="0.2">
      <c r="B35" s="42"/>
      <c r="C35" s="43"/>
      <c r="D35" s="43"/>
      <c r="E35" s="43"/>
      <c r="F35" s="44"/>
      <c r="G35" s="45"/>
      <c r="H35" s="45"/>
      <c r="I35" s="45"/>
      <c r="J35" s="45"/>
      <c r="K35" s="46"/>
      <c r="L35" s="150"/>
      <c r="M35" s="151"/>
      <c r="N35" s="151"/>
      <c r="O35" s="151"/>
      <c r="P35" s="152"/>
    </row>
    <row r="36" spans="2:19" ht="17.25" hidden="1" customHeight="1" x14ac:dyDescent="0.2">
      <c r="B36" s="42"/>
      <c r="C36" s="43"/>
      <c r="D36" s="43"/>
      <c r="E36" s="43"/>
      <c r="F36" s="44"/>
      <c r="G36" s="45"/>
      <c r="H36" s="45"/>
      <c r="I36" s="45"/>
      <c r="J36" s="45"/>
      <c r="K36" s="46"/>
      <c r="L36" s="150"/>
      <c r="M36" s="151"/>
      <c r="N36" s="151"/>
      <c r="O36" s="151"/>
      <c r="P36" s="152"/>
    </row>
    <row r="37" spans="2:19" ht="17.25" customHeight="1" x14ac:dyDescent="0.2">
      <c r="B37" s="42"/>
      <c r="C37" s="43"/>
      <c r="D37" s="43"/>
      <c r="E37" s="43"/>
      <c r="F37" s="44"/>
      <c r="G37" s="45"/>
      <c r="H37" s="45"/>
      <c r="I37" s="45"/>
      <c r="J37" s="45"/>
      <c r="K37" s="46"/>
      <c r="L37" s="150"/>
      <c r="M37" s="151"/>
      <c r="N37" s="151"/>
      <c r="O37" s="151"/>
      <c r="P37" s="152"/>
    </row>
    <row r="38" spans="2:19" ht="17.25" customHeight="1" x14ac:dyDescent="0.2">
      <c r="B38" s="49"/>
      <c r="C38" s="43"/>
      <c r="D38" s="43"/>
      <c r="E38" s="43"/>
      <c r="F38" s="44"/>
      <c r="G38" s="45"/>
      <c r="H38" s="45"/>
      <c r="I38" s="45"/>
      <c r="J38" s="45"/>
      <c r="K38" s="46"/>
      <c r="L38" s="150"/>
      <c r="M38" s="151"/>
      <c r="N38" s="151"/>
      <c r="O38" s="151"/>
      <c r="P38" s="152"/>
    </row>
    <row r="39" spans="2:19" ht="17.25" customHeight="1" x14ac:dyDescent="0.2">
      <c r="B39" s="42"/>
      <c r="C39" s="43"/>
      <c r="D39" s="43"/>
      <c r="E39" s="43"/>
      <c r="F39" s="44"/>
      <c r="G39" s="45"/>
      <c r="H39" s="45"/>
      <c r="I39" s="45"/>
      <c r="J39" s="45"/>
      <c r="K39" s="46"/>
      <c r="L39" s="150"/>
      <c r="M39" s="151"/>
      <c r="N39" s="151"/>
      <c r="O39" s="151"/>
      <c r="P39" s="152"/>
    </row>
    <row r="40" spans="2:19" ht="16.5" customHeight="1" x14ac:dyDescent="0.2">
      <c r="B40" s="50"/>
      <c r="C40" s="51"/>
      <c r="D40" s="51"/>
      <c r="E40" s="51"/>
      <c r="F40" s="52"/>
      <c r="G40" s="153" t="s">
        <v>46</v>
      </c>
      <c r="H40" s="154"/>
      <c r="I40" s="154"/>
      <c r="J40" s="53"/>
      <c r="K40" s="54"/>
      <c r="L40" s="155"/>
      <c r="M40" s="156"/>
      <c r="N40" s="156"/>
      <c r="O40" s="156"/>
      <c r="P40" s="157"/>
    </row>
    <row r="41" spans="2:19" s="34" customFormat="1" ht="6" customHeight="1" thickBot="1" x14ac:dyDescent="0.25">
      <c r="B41" s="55"/>
      <c r="C41" s="56"/>
      <c r="D41" s="56"/>
      <c r="E41" s="56"/>
      <c r="F41" s="56"/>
      <c r="G41" s="57"/>
      <c r="H41" s="57"/>
      <c r="I41" s="57"/>
      <c r="J41" s="57"/>
      <c r="K41" s="57"/>
      <c r="L41" s="57"/>
      <c r="M41" s="57"/>
      <c r="N41" s="57"/>
      <c r="O41" s="57"/>
      <c r="P41" s="58"/>
    </row>
    <row r="42" spans="2:19" s="34" customFormat="1" ht="14.25" customHeight="1" x14ac:dyDescent="0.2">
      <c r="B42" s="123"/>
      <c r="C42" s="143"/>
      <c r="D42" s="59" t="s">
        <v>47</v>
      </c>
      <c r="E42" s="60" t="s">
        <v>48</v>
      </c>
      <c r="F42" s="60" t="s">
        <v>49</v>
      </c>
      <c r="G42" s="60" t="s">
        <v>50</v>
      </c>
      <c r="H42" s="60" t="s">
        <v>51</v>
      </c>
      <c r="I42" s="60" t="s">
        <v>52</v>
      </c>
      <c r="J42" s="60" t="s">
        <v>53</v>
      </c>
      <c r="K42" s="60" t="s">
        <v>54</v>
      </c>
      <c r="L42" s="60" t="s">
        <v>55</v>
      </c>
      <c r="M42" s="60" t="s">
        <v>56</v>
      </c>
      <c r="N42" s="61"/>
      <c r="O42" s="123" t="s">
        <v>57</v>
      </c>
      <c r="P42" s="126"/>
      <c r="S42" s="62"/>
    </row>
    <row r="43" spans="2:19" s="34" customFormat="1" ht="14.25" customHeight="1" x14ac:dyDescent="0.2">
      <c r="B43" s="127" t="s">
        <v>58</v>
      </c>
      <c r="C43" s="144"/>
      <c r="D43" s="63"/>
      <c r="E43" s="39"/>
      <c r="F43" s="39"/>
      <c r="G43" s="47"/>
      <c r="H43" s="47"/>
      <c r="I43" s="47"/>
      <c r="J43" s="47"/>
      <c r="K43" s="47"/>
      <c r="L43" s="47"/>
      <c r="M43" s="47"/>
      <c r="N43" s="64"/>
      <c r="O43" s="145"/>
      <c r="P43" s="146"/>
    </row>
    <row r="44" spans="2:19" s="34" customFormat="1" ht="14.25" customHeight="1" thickBot="1" x14ac:dyDescent="0.25">
      <c r="B44" s="106" t="s">
        <v>59</v>
      </c>
      <c r="C44" s="147"/>
      <c r="D44" s="65"/>
      <c r="E44" s="66"/>
      <c r="F44" s="66"/>
      <c r="G44" s="66"/>
      <c r="H44" s="66"/>
      <c r="I44" s="67"/>
      <c r="J44" s="67"/>
      <c r="K44" s="67"/>
      <c r="L44" s="67"/>
      <c r="M44" s="67"/>
      <c r="N44" s="68"/>
      <c r="O44" s="148"/>
      <c r="P44" s="149"/>
    </row>
    <row r="45" spans="2:19" ht="16" customHeight="1" x14ac:dyDescent="0.2">
      <c r="B45" s="141" t="s">
        <v>60</v>
      </c>
      <c r="C45" s="142"/>
      <c r="D45" s="142"/>
      <c r="E45" s="69" t="s">
        <v>61</v>
      </c>
      <c r="F45" s="69"/>
      <c r="G45" s="69"/>
      <c r="H45" s="69"/>
      <c r="I45" s="69"/>
      <c r="J45" s="69"/>
      <c r="K45" s="69"/>
      <c r="L45" s="69"/>
      <c r="M45" s="70"/>
      <c r="N45" s="5"/>
      <c r="O45" s="5"/>
      <c r="P45" s="71"/>
    </row>
    <row r="46" spans="2:19" s="72" customFormat="1" ht="29.25" customHeight="1" x14ac:dyDescent="0.2">
      <c r="B46" s="110" t="s">
        <v>62</v>
      </c>
      <c r="C46" s="111"/>
      <c r="D46" s="111"/>
      <c r="E46" s="111" t="s">
        <v>63</v>
      </c>
      <c r="F46" s="111"/>
      <c r="G46" s="111" t="s">
        <v>64</v>
      </c>
      <c r="H46" s="111"/>
      <c r="I46" s="111"/>
      <c r="J46" s="112" t="s">
        <v>65</v>
      </c>
      <c r="K46" s="113"/>
      <c r="L46" s="111" t="s">
        <v>66</v>
      </c>
      <c r="M46" s="114"/>
      <c r="N46" s="114"/>
      <c r="O46" s="114"/>
      <c r="P46" s="115"/>
    </row>
    <row r="47" spans="2:19" ht="16" customHeight="1" x14ac:dyDescent="0.2"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100"/>
      <c r="N47" s="100"/>
      <c r="O47" s="100"/>
      <c r="P47" s="101"/>
    </row>
    <row r="48" spans="2:19" ht="16" customHeight="1" thickBot="1" x14ac:dyDescent="0.25">
      <c r="B48" s="102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4"/>
      <c r="N48" s="104"/>
      <c r="O48" s="104"/>
      <c r="P48" s="105"/>
    </row>
    <row r="49" spans="2:18" ht="7.5" customHeight="1" thickBot="1" x14ac:dyDescent="0.25"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</row>
    <row r="50" spans="2:18" s="34" customFormat="1" ht="17.25" customHeight="1" x14ac:dyDescent="0.2">
      <c r="B50" s="19" t="s">
        <v>29</v>
      </c>
      <c r="C50" s="74">
        <f>C22</f>
        <v>0</v>
      </c>
      <c r="D50" s="21"/>
      <c r="E50" s="21"/>
      <c r="F50" s="131" t="s">
        <v>30</v>
      </c>
      <c r="G50" s="131"/>
      <c r="H50" s="75">
        <f>H22</f>
        <v>0</v>
      </c>
      <c r="I50" s="24" t="s">
        <v>31</v>
      </c>
      <c r="J50" s="132">
        <f>J22</f>
        <v>0</v>
      </c>
      <c r="K50" s="132"/>
      <c r="L50" s="24" t="s">
        <v>32</v>
      </c>
      <c r="M50" s="133" t="str">
        <f>M22</f>
        <v>BOHOL</v>
      </c>
      <c r="N50" s="133"/>
      <c r="O50" s="24" t="s">
        <v>34</v>
      </c>
      <c r="P50" s="76" t="str">
        <f>P22</f>
        <v>VII</v>
      </c>
      <c r="R50" s="28"/>
    </row>
    <row r="51" spans="2:18" s="34" customFormat="1" ht="17.25" customHeight="1" x14ac:dyDescent="0.2">
      <c r="B51" s="27" t="s">
        <v>36</v>
      </c>
      <c r="C51" s="28"/>
      <c r="D51" s="28"/>
      <c r="E51" s="30" t="s">
        <v>37</v>
      </c>
      <c r="F51" s="30"/>
      <c r="G51" s="30" t="s">
        <v>67</v>
      </c>
      <c r="H51" s="30"/>
      <c r="I51" s="30"/>
      <c r="J51" s="22" t="s">
        <v>39</v>
      </c>
      <c r="K51" s="30"/>
      <c r="L51" s="30"/>
      <c r="M51" s="30"/>
      <c r="N51" s="30"/>
      <c r="O51" s="32" t="s">
        <v>40</v>
      </c>
      <c r="P51" s="33"/>
      <c r="R51" s="28"/>
    </row>
    <row r="52" spans="2:18" s="34" customFormat="1" ht="3" customHeight="1" x14ac:dyDescent="0.2">
      <c r="B52" s="77"/>
      <c r="L52" s="36"/>
      <c r="M52" s="36"/>
      <c r="N52" s="36"/>
      <c r="O52" s="36"/>
      <c r="P52" s="37"/>
    </row>
    <row r="53" spans="2:18" ht="17.25" customHeight="1" x14ac:dyDescent="0.2">
      <c r="B53" s="134" t="s">
        <v>41</v>
      </c>
      <c r="C53" s="135"/>
      <c r="D53" s="135"/>
      <c r="E53" s="135"/>
      <c r="F53" s="136"/>
      <c r="G53" s="140" t="s">
        <v>68</v>
      </c>
      <c r="H53" s="121"/>
      <c r="I53" s="121"/>
      <c r="J53" s="121"/>
      <c r="K53" s="40" t="s">
        <v>43</v>
      </c>
      <c r="L53" s="111" t="s">
        <v>44</v>
      </c>
      <c r="M53" s="114"/>
      <c r="N53" s="114"/>
      <c r="O53" s="114"/>
      <c r="P53" s="115"/>
    </row>
    <row r="54" spans="2:18" ht="17.25" customHeight="1" x14ac:dyDescent="0.2">
      <c r="B54" s="137"/>
      <c r="C54" s="138"/>
      <c r="D54" s="138"/>
      <c r="E54" s="138"/>
      <c r="F54" s="139"/>
      <c r="G54" s="38">
        <v>1</v>
      </c>
      <c r="H54" s="39">
        <v>2</v>
      </c>
      <c r="I54" s="39">
        <v>3</v>
      </c>
      <c r="J54" s="39">
        <v>4</v>
      </c>
      <c r="K54" s="41" t="s">
        <v>45</v>
      </c>
      <c r="L54" s="111"/>
      <c r="M54" s="114"/>
      <c r="N54" s="114"/>
      <c r="O54" s="114"/>
      <c r="P54" s="115"/>
    </row>
    <row r="55" spans="2:18" ht="17.25" customHeight="1" x14ac:dyDescent="0.2">
      <c r="B55" s="42"/>
      <c r="C55" s="43"/>
      <c r="D55" s="43"/>
      <c r="E55" s="43"/>
      <c r="F55" s="44"/>
      <c r="G55" s="44"/>
      <c r="H55" s="78"/>
      <c r="I55" s="78"/>
      <c r="J55" s="78"/>
      <c r="K55" s="78"/>
      <c r="L55" s="121"/>
      <c r="M55" s="116"/>
      <c r="N55" s="116"/>
      <c r="O55" s="116"/>
      <c r="P55" s="122"/>
    </row>
    <row r="56" spans="2:18" ht="17.25" customHeight="1" x14ac:dyDescent="0.2">
      <c r="B56" s="42"/>
      <c r="C56" s="43"/>
      <c r="D56" s="43"/>
      <c r="E56" s="43"/>
      <c r="F56" s="44"/>
      <c r="G56" s="44"/>
      <c r="H56" s="78"/>
      <c r="I56" s="78"/>
      <c r="J56" s="78"/>
      <c r="K56" s="78"/>
      <c r="L56" s="121"/>
      <c r="M56" s="116"/>
      <c r="N56" s="116"/>
      <c r="O56" s="116"/>
      <c r="P56" s="122"/>
    </row>
    <row r="57" spans="2:18" ht="17.25" customHeight="1" x14ac:dyDescent="0.2">
      <c r="B57" s="42"/>
      <c r="C57" s="43"/>
      <c r="D57" s="43"/>
      <c r="E57" s="43"/>
      <c r="F57" s="44"/>
      <c r="G57" s="44"/>
      <c r="H57" s="78"/>
      <c r="I57" s="78"/>
      <c r="J57" s="78"/>
      <c r="K57" s="78"/>
      <c r="L57" s="121"/>
      <c r="M57" s="116"/>
      <c r="N57" s="116"/>
      <c r="O57" s="116"/>
      <c r="P57" s="122"/>
    </row>
    <row r="58" spans="2:18" ht="17.25" customHeight="1" x14ac:dyDescent="0.2">
      <c r="B58" s="42"/>
      <c r="C58" s="43"/>
      <c r="D58" s="43"/>
      <c r="E58" s="43"/>
      <c r="F58" s="44"/>
      <c r="G58" s="44"/>
      <c r="H58" s="78"/>
      <c r="I58" s="78"/>
      <c r="J58" s="78"/>
      <c r="K58" s="78"/>
      <c r="L58" s="121"/>
      <c r="M58" s="116"/>
      <c r="N58" s="116"/>
      <c r="O58" s="116"/>
      <c r="P58" s="122"/>
    </row>
    <row r="59" spans="2:18" ht="17.25" customHeight="1" x14ac:dyDescent="0.2">
      <c r="B59" s="42"/>
      <c r="C59" s="43"/>
      <c r="D59" s="43"/>
      <c r="E59" s="43"/>
      <c r="F59" s="44"/>
      <c r="G59" s="44"/>
      <c r="H59" s="78"/>
      <c r="I59" s="78"/>
      <c r="J59" s="78"/>
      <c r="K59" s="78"/>
      <c r="L59" s="121"/>
      <c r="M59" s="116"/>
      <c r="N59" s="116"/>
      <c r="O59" s="116"/>
      <c r="P59" s="122"/>
    </row>
    <row r="60" spans="2:18" ht="17.25" customHeight="1" x14ac:dyDescent="0.2">
      <c r="B60" s="42"/>
      <c r="C60" s="43"/>
      <c r="D60" s="43"/>
      <c r="E60" s="43"/>
      <c r="F60" s="44"/>
      <c r="G60" s="44"/>
      <c r="H60" s="78"/>
      <c r="I60" s="78"/>
      <c r="J60" s="78"/>
      <c r="K60" s="78"/>
      <c r="L60" s="121"/>
      <c r="M60" s="116"/>
      <c r="N60" s="116"/>
      <c r="O60" s="116"/>
      <c r="P60" s="122"/>
    </row>
    <row r="61" spans="2:18" ht="17.25" customHeight="1" x14ac:dyDescent="0.2">
      <c r="B61" s="42"/>
      <c r="C61" s="43"/>
      <c r="D61" s="43"/>
      <c r="E61" s="43"/>
      <c r="F61" s="44"/>
      <c r="G61" s="44"/>
      <c r="H61" s="78"/>
      <c r="I61" s="78"/>
      <c r="J61" s="78"/>
      <c r="K61" s="78"/>
      <c r="L61" s="121"/>
      <c r="M61" s="116"/>
      <c r="N61" s="116"/>
      <c r="O61" s="116"/>
      <c r="P61" s="122"/>
    </row>
    <row r="62" spans="2:18" ht="17.25" customHeight="1" x14ac:dyDescent="0.2">
      <c r="B62" s="42"/>
      <c r="C62" s="43"/>
      <c r="D62" s="43"/>
      <c r="E62" s="43"/>
      <c r="F62" s="44"/>
      <c r="G62" s="44"/>
      <c r="H62" s="78"/>
      <c r="I62" s="78"/>
      <c r="J62" s="78"/>
      <c r="K62" s="78"/>
      <c r="L62" s="121"/>
      <c r="M62" s="116"/>
      <c r="N62" s="116"/>
      <c r="O62" s="116"/>
      <c r="P62" s="122"/>
    </row>
    <row r="63" spans="2:18" ht="17.25" customHeight="1" x14ac:dyDescent="0.2">
      <c r="B63" s="42"/>
      <c r="C63" s="43"/>
      <c r="D63" s="43"/>
      <c r="E63" s="43"/>
      <c r="F63" s="44"/>
      <c r="G63" s="44"/>
      <c r="H63" s="78"/>
      <c r="I63" s="78"/>
      <c r="J63" s="78"/>
      <c r="K63" s="78"/>
      <c r="L63" s="121"/>
      <c r="M63" s="116"/>
      <c r="N63" s="116"/>
      <c r="O63" s="116"/>
      <c r="P63" s="122"/>
    </row>
    <row r="64" spans="2:18" ht="17.25" customHeight="1" x14ac:dyDescent="0.2">
      <c r="B64" s="42"/>
      <c r="C64" s="43"/>
      <c r="D64" s="43"/>
      <c r="E64" s="43"/>
      <c r="F64" s="44"/>
      <c r="G64" s="44"/>
      <c r="H64" s="78"/>
      <c r="I64" s="78"/>
      <c r="J64" s="78"/>
      <c r="K64" s="78"/>
      <c r="L64" s="121"/>
      <c r="M64" s="116"/>
      <c r="N64" s="116"/>
      <c r="O64" s="116"/>
      <c r="P64" s="122"/>
    </row>
    <row r="65" spans="2:16" ht="17.25" customHeight="1" x14ac:dyDescent="0.2">
      <c r="B65" s="42"/>
      <c r="C65" s="43"/>
      <c r="D65" s="43"/>
      <c r="E65" s="43"/>
      <c r="F65" s="44"/>
      <c r="G65" s="44"/>
      <c r="H65" s="78"/>
      <c r="I65" s="78"/>
      <c r="J65" s="78"/>
      <c r="K65" s="78"/>
      <c r="L65" s="121"/>
      <c r="M65" s="116"/>
      <c r="N65" s="116"/>
      <c r="O65" s="116"/>
      <c r="P65" s="122"/>
    </row>
    <row r="66" spans="2:16" ht="17.25" customHeight="1" x14ac:dyDescent="0.2">
      <c r="B66" s="42"/>
      <c r="C66" s="43"/>
      <c r="D66" s="43"/>
      <c r="E66" s="43"/>
      <c r="F66" s="44"/>
      <c r="G66" s="44"/>
      <c r="H66" s="78"/>
      <c r="I66" s="78"/>
      <c r="J66" s="78"/>
      <c r="K66" s="78"/>
      <c r="L66" s="121"/>
      <c r="M66" s="116"/>
      <c r="N66" s="116"/>
      <c r="O66" s="116"/>
      <c r="P66" s="122"/>
    </row>
    <row r="67" spans="2:16" ht="17.25" customHeight="1" x14ac:dyDescent="0.2">
      <c r="B67" s="42"/>
      <c r="C67" s="43"/>
      <c r="D67" s="43"/>
      <c r="E67" s="43"/>
      <c r="F67" s="44"/>
      <c r="G67" s="44"/>
      <c r="H67" s="78"/>
      <c r="I67" s="78"/>
      <c r="J67" s="78"/>
      <c r="K67" s="78"/>
      <c r="L67" s="116"/>
      <c r="M67" s="117"/>
      <c r="N67" s="117"/>
      <c r="O67" s="117"/>
      <c r="P67" s="118"/>
    </row>
    <row r="68" spans="2:16" ht="17.25" customHeight="1" x14ac:dyDescent="0.2">
      <c r="B68" s="50"/>
      <c r="C68" s="51"/>
      <c r="D68" s="51"/>
      <c r="E68" s="51"/>
      <c r="F68" s="52"/>
      <c r="G68" s="119" t="s">
        <v>46</v>
      </c>
      <c r="H68" s="120"/>
      <c r="I68" s="120"/>
      <c r="J68" s="120"/>
      <c r="K68" s="79"/>
      <c r="L68" s="121"/>
      <c r="M68" s="116"/>
      <c r="N68" s="116"/>
      <c r="O68" s="116"/>
      <c r="P68" s="122"/>
    </row>
    <row r="69" spans="2:16" ht="3" customHeight="1" thickBot="1" x14ac:dyDescent="0.25">
      <c r="B69" s="80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81"/>
    </row>
    <row r="70" spans="2:16" ht="15" customHeight="1" x14ac:dyDescent="0.2">
      <c r="B70" s="123"/>
      <c r="C70" s="124"/>
      <c r="D70" s="60" t="s">
        <v>47</v>
      </c>
      <c r="E70" s="60" t="s">
        <v>48</v>
      </c>
      <c r="F70" s="60" t="s">
        <v>49</v>
      </c>
      <c r="G70" s="60" t="s">
        <v>50</v>
      </c>
      <c r="H70" s="60" t="s">
        <v>51</v>
      </c>
      <c r="I70" s="60" t="s">
        <v>52</v>
      </c>
      <c r="J70" s="60" t="s">
        <v>53</v>
      </c>
      <c r="K70" s="60" t="s">
        <v>54</v>
      </c>
      <c r="L70" s="60" t="s">
        <v>55</v>
      </c>
      <c r="M70" s="60" t="s">
        <v>56</v>
      </c>
      <c r="N70" s="60" t="s">
        <v>69</v>
      </c>
      <c r="O70" s="125" t="s">
        <v>57</v>
      </c>
      <c r="P70" s="126"/>
    </row>
    <row r="71" spans="2:16" ht="15" customHeight="1" x14ac:dyDescent="0.2">
      <c r="B71" s="127" t="s">
        <v>58</v>
      </c>
      <c r="C71" s="128"/>
      <c r="D71" s="78"/>
      <c r="E71" s="78"/>
      <c r="F71" s="78"/>
      <c r="G71" s="82"/>
      <c r="H71" s="82"/>
      <c r="I71" s="82"/>
      <c r="J71" s="82"/>
      <c r="K71" s="82"/>
      <c r="L71" s="82"/>
      <c r="M71" s="82"/>
      <c r="N71" s="82"/>
      <c r="O71" s="129"/>
      <c r="P71" s="130"/>
    </row>
    <row r="72" spans="2:16" ht="15" customHeight="1" thickBot="1" x14ac:dyDescent="0.25">
      <c r="B72" s="106" t="s">
        <v>59</v>
      </c>
      <c r="C72" s="107"/>
      <c r="D72" s="83"/>
      <c r="E72" s="83"/>
      <c r="F72" s="83"/>
      <c r="G72" s="84"/>
      <c r="H72" s="84"/>
      <c r="I72" s="84"/>
      <c r="J72" s="84"/>
      <c r="K72" s="84"/>
      <c r="L72" s="84"/>
      <c r="M72" s="84"/>
      <c r="N72" s="84"/>
      <c r="O72" s="108"/>
      <c r="P72" s="109"/>
    </row>
    <row r="73" spans="2:16" ht="16" customHeight="1" x14ac:dyDescent="0.2">
      <c r="B73" s="98" t="s">
        <v>60</v>
      </c>
      <c r="C73" s="99"/>
      <c r="D73" s="99"/>
      <c r="E73" s="85" t="s">
        <v>70</v>
      </c>
      <c r="F73" s="85"/>
      <c r="G73" s="85"/>
      <c r="H73" s="85"/>
      <c r="I73" s="85"/>
      <c r="J73" s="85"/>
      <c r="K73" s="85"/>
      <c r="L73" s="85"/>
      <c r="M73" s="86"/>
      <c r="N73" s="87"/>
      <c r="O73" s="87"/>
      <c r="P73" s="88"/>
    </row>
    <row r="74" spans="2:16" s="72" customFormat="1" ht="26.25" customHeight="1" x14ac:dyDescent="0.2">
      <c r="B74" s="110" t="s">
        <v>62</v>
      </c>
      <c r="C74" s="111"/>
      <c r="D74" s="111"/>
      <c r="E74" s="111" t="s">
        <v>63</v>
      </c>
      <c r="F74" s="111"/>
      <c r="G74" s="111" t="s">
        <v>64</v>
      </c>
      <c r="H74" s="111"/>
      <c r="I74" s="111"/>
      <c r="J74" s="112" t="s">
        <v>65</v>
      </c>
      <c r="K74" s="113"/>
      <c r="L74" s="111" t="s">
        <v>66</v>
      </c>
      <c r="M74" s="114"/>
      <c r="N74" s="114"/>
      <c r="O74" s="114"/>
      <c r="P74" s="115"/>
    </row>
    <row r="75" spans="2:16" ht="15" customHeight="1" x14ac:dyDescent="0.2">
      <c r="B75" s="98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100"/>
      <c r="N75" s="100"/>
      <c r="O75" s="100"/>
      <c r="P75" s="101"/>
    </row>
    <row r="76" spans="2:16" ht="15" customHeight="1" thickBot="1" x14ac:dyDescent="0.25"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4"/>
      <c r="N76" s="104"/>
      <c r="O76" s="104"/>
      <c r="P76" s="105"/>
    </row>
    <row r="77" spans="2:16" ht="2.25" customHeight="1" thickBot="1" x14ac:dyDescent="0.25"/>
    <row r="78" spans="2:16" ht="15" customHeight="1" x14ac:dyDescent="0.25">
      <c r="B78" s="95" t="s">
        <v>71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7"/>
    </row>
    <row r="79" spans="2:16" ht="8.25" customHeight="1" x14ac:dyDescent="0.2">
      <c r="B79" s="89"/>
      <c r="P79" s="90"/>
    </row>
    <row r="80" spans="2:16" x14ac:dyDescent="0.2">
      <c r="B80" s="89" t="s">
        <v>72</v>
      </c>
      <c r="E80" s="6"/>
      <c r="F80" s="6"/>
      <c r="G80" s="6"/>
      <c r="H80" s="6"/>
      <c r="I80" t="s">
        <v>73</v>
      </c>
      <c r="J80" s="6"/>
      <c r="K80" t="s">
        <v>74</v>
      </c>
      <c r="P80" s="91"/>
    </row>
    <row r="81" spans="2:16" ht="14.25" customHeight="1" x14ac:dyDescent="0.2">
      <c r="B81" s="89" t="s">
        <v>75</v>
      </c>
      <c r="D81" s="6"/>
      <c r="E81" s="6"/>
      <c r="F81" s="6"/>
      <c r="G81" t="s">
        <v>21</v>
      </c>
      <c r="H81" s="6"/>
      <c r="I81" s="6"/>
      <c r="K81" t="s">
        <v>76</v>
      </c>
      <c r="N81" s="6"/>
      <c r="O81" s="6"/>
      <c r="P81" s="90"/>
    </row>
    <row r="82" spans="2:16" x14ac:dyDescent="0.2">
      <c r="B82" s="89"/>
      <c r="P82" s="90"/>
    </row>
    <row r="83" spans="2:16" ht="12.75" customHeight="1" x14ac:dyDescent="0.2">
      <c r="B83" s="89" t="s">
        <v>77</v>
      </c>
      <c r="E83" s="6"/>
      <c r="F83" s="6"/>
      <c r="G83" s="6"/>
      <c r="H83" s="6"/>
      <c r="I83" s="6"/>
      <c r="P83" s="90"/>
    </row>
    <row r="84" spans="2:16" ht="16" thickBot="1" x14ac:dyDescent="0.25">
      <c r="B84" s="92" t="s">
        <v>78</v>
      </c>
      <c r="C84" s="93"/>
      <c r="D84" s="93"/>
      <c r="E84" s="93" t="s">
        <v>79</v>
      </c>
      <c r="F84" s="93"/>
      <c r="G84" s="94"/>
      <c r="H84" s="93"/>
      <c r="I84" s="93"/>
      <c r="J84" s="93"/>
      <c r="K84" s="93"/>
      <c r="L84" s="93" t="s">
        <v>80</v>
      </c>
      <c r="M84" s="93"/>
      <c r="N84" s="93"/>
      <c r="O84" s="93"/>
      <c r="P84" s="94"/>
    </row>
  </sheetData>
  <sheetProtection selectLockedCells="1"/>
  <mergeCells count="104">
    <mergeCell ref="B8:P8"/>
    <mergeCell ref="C9:D9"/>
    <mergeCell ref="N9:O9"/>
    <mergeCell ref="E10:F10"/>
    <mergeCell ref="I10:K10"/>
    <mergeCell ref="N10:O10"/>
    <mergeCell ref="B2:P2"/>
    <mergeCell ref="B3:P3"/>
    <mergeCell ref="B4:P4"/>
    <mergeCell ref="B5:P5"/>
    <mergeCell ref="B6:P6"/>
    <mergeCell ref="B7:P7"/>
    <mergeCell ref="L23:N23"/>
    <mergeCell ref="B25:F26"/>
    <mergeCell ref="G25:J25"/>
    <mergeCell ref="L25:P26"/>
    <mergeCell ref="L27:P27"/>
    <mergeCell ref="L28:P28"/>
    <mergeCell ref="B12:P12"/>
    <mergeCell ref="F15:H15"/>
    <mergeCell ref="M15:P15"/>
    <mergeCell ref="B20:P20"/>
    <mergeCell ref="F22:G22"/>
    <mergeCell ref="J22:K22"/>
    <mergeCell ref="M22:N22"/>
    <mergeCell ref="L35:P35"/>
    <mergeCell ref="L36:P36"/>
    <mergeCell ref="L37:P37"/>
    <mergeCell ref="L38:P38"/>
    <mergeCell ref="L39:P39"/>
    <mergeCell ref="G40:I40"/>
    <mergeCell ref="L40:P40"/>
    <mergeCell ref="L29:P29"/>
    <mergeCell ref="L30:P30"/>
    <mergeCell ref="L31:P31"/>
    <mergeCell ref="L32:P32"/>
    <mergeCell ref="L33:P33"/>
    <mergeCell ref="L34:P34"/>
    <mergeCell ref="B45:D45"/>
    <mergeCell ref="B46:D46"/>
    <mergeCell ref="E46:F46"/>
    <mergeCell ref="G46:I46"/>
    <mergeCell ref="J46:K46"/>
    <mergeCell ref="L46:P46"/>
    <mergeCell ref="B42:C42"/>
    <mergeCell ref="O42:P42"/>
    <mergeCell ref="B43:C43"/>
    <mergeCell ref="O43:P43"/>
    <mergeCell ref="B44:C44"/>
    <mergeCell ref="O44:P44"/>
    <mergeCell ref="F50:G50"/>
    <mergeCell ref="J50:K50"/>
    <mergeCell ref="M50:N50"/>
    <mergeCell ref="B53:F54"/>
    <mergeCell ref="G53:J53"/>
    <mergeCell ref="L53:P54"/>
    <mergeCell ref="B47:D47"/>
    <mergeCell ref="E47:F47"/>
    <mergeCell ref="G47:I47"/>
    <mergeCell ref="J47:K47"/>
    <mergeCell ref="L47:P47"/>
    <mergeCell ref="B48:D48"/>
    <mergeCell ref="E48:F48"/>
    <mergeCell ref="G48:I48"/>
    <mergeCell ref="J48:K48"/>
    <mergeCell ref="L48:P48"/>
    <mergeCell ref="L61:P61"/>
    <mergeCell ref="L62:P62"/>
    <mergeCell ref="L63:P63"/>
    <mergeCell ref="L64:P64"/>
    <mergeCell ref="L65:P65"/>
    <mergeCell ref="L66:P66"/>
    <mergeCell ref="L55:P55"/>
    <mergeCell ref="L56:P56"/>
    <mergeCell ref="L57:P57"/>
    <mergeCell ref="L58:P58"/>
    <mergeCell ref="L59:P59"/>
    <mergeCell ref="L60:P60"/>
    <mergeCell ref="B72:C72"/>
    <mergeCell ref="O72:P72"/>
    <mergeCell ref="B73:D73"/>
    <mergeCell ref="B74:D74"/>
    <mergeCell ref="E74:F74"/>
    <mergeCell ref="G74:I74"/>
    <mergeCell ref="J74:K74"/>
    <mergeCell ref="L74:P74"/>
    <mergeCell ref="L67:P67"/>
    <mergeCell ref="G68:J68"/>
    <mergeCell ref="L68:P68"/>
    <mergeCell ref="B70:C70"/>
    <mergeCell ref="O70:P70"/>
    <mergeCell ref="B71:C71"/>
    <mergeCell ref="O71:P71"/>
    <mergeCell ref="B78:P78"/>
    <mergeCell ref="B75:D75"/>
    <mergeCell ref="E75:F75"/>
    <mergeCell ref="G75:I75"/>
    <mergeCell ref="J75:K75"/>
    <mergeCell ref="L75:P75"/>
    <mergeCell ref="B76:D76"/>
    <mergeCell ref="E76:F76"/>
    <mergeCell ref="G76:I76"/>
    <mergeCell ref="J76:K76"/>
    <mergeCell ref="L76:P76"/>
  </mergeCells>
  <conditionalFormatting sqref="G27:K39">
    <cfRule type="cellIs" dxfId="0" priority="1" operator="equal">
      <formula>0</formula>
    </cfRule>
  </conditionalFormatting>
  <printOptions horizontalCentered="1"/>
  <pageMargins left="0.15748031496062992" right="0.15748031496062992" top="0.43307086614173229" bottom="0.23622047244094491" header="3.937007874015748E-2" footer="0"/>
  <pageSetup paperSize="14" scale="7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OFFSET('D:/2024-2025/Homeroom/[SF10 2024 25.xlsx]INFO'!#REF!,,,COUNTA('D:/2024-2025/Homeroom/[SF10 2024 25.xlsx]INFO'!#REF!))</xm:f>
          </x14:formula1>
          <xm:sqref>E10:F10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3" sqref="A1:G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Julio Lopez</cp:lastModifiedBy>
  <dcterms:created xsi:type="dcterms:W3CDTF">2025-03-26T02:37:17Z</dcterms:created>
  <dcterms:modified xsi:type="dcterms:W3CDTF">2025-04-24T03:06:35Z</dcterms:modified>
</cp:coreProperties>
</file>